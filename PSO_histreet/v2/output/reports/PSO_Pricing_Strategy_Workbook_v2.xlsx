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mpetitor Data" sheetId="2" state="visible" r:id="rId2"/>
    <sheet xmlns:r="http://schemas.openxmlformats.org/officeDocument/2006/relationships" name="Summary" sheetId="3" state="visible" r:id="rId3"/>
    <sheet xmlns:r="http://schemas.openxmlformats.org/officeDocument/2006/relationships" name="F1 - Value Tiering" sheetId="4" state="visible" r:id="rId4"/>
    <sheet xmlns:r="http://schemas.openxmlformats.org/officeDocument/2006/relationships" name="F2 - Market Ref Price" sheetId="5" state="visible" r:id="rId5"/>
    <sheet xmlns:r="http://schemas.openxmlformats.org/officeDocument/2006/relationships" name="F3 - Pack Architecture" sheetId="6" state="visible" r:id="rId6"/>
    <sheet xmlns:r="http://schemas.openxmlformats.org/officeDocument/2006/relationships" name="F4 - Cost Waterfall" sheetId="7" state="visible" r:id="rId7"/>
    <sheet xmlns:r="http://schemas.openxmlformats.org/officeDocument/2006/relationships" name="F5 - Spec Premium" sheetId="8" state="visible" r:id="rId8"/>
    <sheet xmlns:r="http://schemas.openxmlformats.org/officeDocument/2006/relationships" name="F6 - Geographic" sheetId="9" state="visible" r:id="rId9"/>
    <sheet xmlns:r="http://schemas.openxmlformats.org/officeDocument/2006/relationships" name="F7 - Base Oil Floor" sheetId="10" state="visible" r:id="rId10"/>
    <sheet xmlns:r="http://schemas.openxmlformats.org/officeDocument/2006/relationships" name="F8 - Channel Pricing"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Calibri"/>
      <b val="1"/>
      <color rgb="00FFFFFF"/>
      <sz val="14"/>
    </font>
    <font>
      <name val="Calibri"/>
      <i val="1"/>
      <color rgb="00555555"/>
      <sz val="8.5"/>
    </font>
    <font>
      <name val="Calibri"/>
      <b val="1"/>
      <color rgb="00FFFFFF"/>
      <sz val="9"/>
    </font>
    <font>
      <name val="Calibri"/>
      <b val="1"/>
      <color rgb="00FFFFFF"/>
      <sz val="8.5"/>
    </font>
    <font>
      <name val="Calibri"/>
      <b val="1"/>
      <sz val="8.5"/>
    </font>
    <font>
      <name val="Calibri"/>
      <sz val="8.5"/>
    </font>
    <font>
      <name val="Calibri"/>
      <b val="1"/>
      <color rgb="00FFFFFF"/>
      <sz val="13"/>
    </font>
    <font>
      <name val="Calibri"/>
      <color rgb="001A5276"/>
      <sz val="8.5"/>
    </font>
    <font>
      <name val="Calibri"/>
      <color rgb="00111111"/>
      <sz val="9"/>
    </font>
    <font>
      <name val="Calibri"/>
      <b val="1"/>
      <color rgb="00111111"/>
      <sz val="9"/>
    </font>
    <font>
      <name val="Calibri"/>
      <b val="1"/>
      <color rgb="001A5276"/>
      <sz val="8.5"/>
    </font>
  </fonts>
  <fills count="13">
    <fill>
      <patternFill/>
    </fill>
    <fill>
      <patternFill patternType="gray125"/>
    </fill>
    <fill>
      <patternFill patternType="solid">
        <fgColor rgb="00023520"/>
      </patternFill>
    </fill>
    <fill>
      <patternFill patternType="solid">
        <fgColor rgb="0000703C"/>
      </patternFill>
    </fill>
    <fill>
      <patternFill patternType="solid">
        <fgColor rgb="00E8F5EE"/>
      </patternFill>
    </fill>
    <fill>
      <patternFill patternType="solid">
        <fgColor rgb="00EEF7FF"/>
      </patternFill>
    </fill>
    <fill>
      <patternFill patternType="solid">
        <fgColor rgb="00FFF8E6"/>
      </patternFill>
    </fill>
    <fill>
      <patternFill patternType="solid">
        <fgColor rgb="00D5F5E3"/>
      </patternFill>
    </fill>
    <fill>
      <patternFill patternType="solid">
        <fgColor rgb="00FFE6E6"/>
      </patternFill>
    </fill>
    <fill>
      <patternFill patternType="solid">
        <fgColor rgb="00F4FAF7"/>
      </patternFill>
    </fill>
    <fill>
      <patternFill patternType="solid">
        <fgColor rgb="00F0FAF5"/>
      </patternFill>
    </fill>
    <fill>
      <patternFill patternType="solid">
        <fgColor rgb="00C8960C"/>
      </patternFill>
    </fill>
    <fill>
      <patternFill patternType="solid">
        <fgColor rgb="00FEF9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wrapText="1" indent="1"/>
    </xf>
    <xf numFmtId="0" fontId="3" fillId="3" borderId="0" applyAlignment="1" pivotButton="0" quotePrefix="0" xfId="0">
      <alignment horizontal="left" vertical="center"/>
    </xf>
    <xf numFmtId="0" fontId="4" fillId="2" borderId="1" applyAlignment="1" pivotButton="0" quotePrefix="0" xfId="0">
      <alignment horizontal="center" vertical="center" wrapText="1"/>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5" borderId="1" applyAlignment="1" pivotButton="0" quotePrefix="0" xfId="0">
      <alignment horizontal="left" vertical="center" wrapText="1"/>
    </xf>
    <xf numFmtId="0" fontId="7" fillId="2" borderId="0" applyAlignment="1" pivotButton="0" quotePrefix="0" xfId="0">
      <alignment horizontal="left" vertical="center"/>
    </xf>
    <xf numFmtId="0" fontId="6" fillId="0" borderId="1" applyAlignment="1" pivotButton="0" quotePrefix="0" xfId="0">
      <alignment horizontal="right" vertical="center"/>
    </xf>
    <xf numFmtId="2" fontId="6" fillId="0" borderId="1" applyAlignment="1" pivotButton="0" quotePrefix="0" xfId="0">
      <alignment horizontal="right" vertical="center"/>
    </xf>
    <xf numFmtId="3" fontId="6" fillId="0" borderId="1" applyAlignment="1" pivotButton="0" quotePrefix="0" xfId="0">
      <alignment horizontal="right" vertical="center"/>
    </xf>
    <xf numFmtId="0" fontId="6" fillId="6" borderId="1" applyAlignment="1" pivotButton="0" quotePrefix="0" xfId="0">
      <alignment horizontal="right" vertical="center"/>
    </xf>
    <xf numFmtId="0" fontId="6" fillId="6" borderId="1" applyAlignment="1" pivotButton="0" quotePrefix="0" xfId="0">
      <alignment horizontal="left" vertical="center" wrapText="1"/>
    </xf>
    <xf numFmtId="2" fontId="6" fillId="6" borderId="1" applyAlignment="1" pivotButton="0" quotePrefix="0" xfId="0">
      <alignment horizontal="right" vertical="center"/>
    </xf>
    <xf numFmtId="3" fontId="6" fillId="6" borderId="1" applyAlignment="1" pivotButton="0" quotePrefix="0" xfId="0">
      <alignment horizontal="right" vertical="center"/>
    </xf>
    <xf numFmtId="3" fontId="5" fillId="0" borderId="1" applyAlignment="1" pivotButton="0" quotePrefix="0" xfId="0">
      <alignment horizontal="right" vertical="center"/>
    </xf>
    <xf numFmtId="3" fontId="5" fillId="4" borderId="1" applyAlignment="1" pivotButton="0" quotePrefix="0" xfId="0">
      <alignment horizontal="right" vertical="center"/>
    </xf>
    <xf numFmtId="0" fontId="6" fillId="7" borderId="1" applyAlignment="1" pivotButton="0" quotePrefix="0" xfId="0">
      <alignment horizontal="left" vertical="center" wrapText="1"/>
    </xf>
    <xf numFmtId="0" fontId="6" fillId="8" borderId="1" applyAlignment="1" pivotButton="0" quotePrefix="0" xfId="0">
      <alignment horizontal="left" vertical="center" wrapText="1"/>
    </xf>
    <xf numFmtId="0" fontId="2" fillId="4" borderId="0" applyAlignment="1" pivotButton="0" quotePrefix="0" xfId="0">
      <alignment horizontal="left" vertical="center" wrapText="1" indent="1"/>
    </xf>
    <xf numFmtId="9" fontId="6" fillId="0" borderId="1" applyAlignment="1" pivotButton="0" quotePrefix="0" xfId="0">
      <alignment horizontal="right" vertical="center"/>
    </xf>
    <xf numFmtId="3" fontId="8" fillId="0" borderId="1" applyAlignment="1" pivotButton="0" quotePrefix="0" xfId="0">
      <alignment horizontal="right" vertical="center"/>
    </xf>
    <xf numFmtId="0" fontId="3" fillId="2" borderId="0" applyAlignment="1" pivotButton="0" quotePrefix="0" xfId="0">
      <alignment horizontal="left" vertical="center"/>
    </xf>
    <xf numFmtId="0" fontId="9" fillId="9" borderId="0" applyAlignment="1" pivotButton="0" quotePrefix="0" xfId="0">
      <alignment horizontal="left" vertical="top" wrapText="1" indent="1"/>
    </xf>
    <xf numFmtId="0" fontId="9" fillId="10" borderId="0" applyAlignment="1" pivotButton="0" quotePrefix="0" xfId="0">
      <alignment horizontal="left" vertical="top" wrapText="1" indent="1"/>
    </xf>
    <xf numFmtId="0" fontId="10" fillId="11" borderId="0" applyAlignment="1" pivotButton="0" quotePrefix="0" xfId="0">
      <alignment horizontal="left" vertical="center"/>
    </xf>
    <xf numFmtId="0" fontId="9" fillId="12" borderId="0" applyAlignment="1" pivotButton="0" quotePrefix="0" xfId="0">
      <alignment horizontal="left" vertical="top" wrapText="1" indent="1"/>
    </xf>
    <xf numFmtId="164" fontId="6" fillId="0" borderId="1" applyAlignment="1" pivotButton="0" quotePrefix="0" xfId="0">
      <alignment horizontal="right" vertical="center"/>
    </xf>
    <xf numFmtId="2" fontId="5" fillId="0" borderId="1" applyAlignment="1" pivotButton="0" quotePrefix="0" xfId="0">
      <alignment horizontal="right" vertical="center"/>
    </xf>
    <xf numFmtId="2" fontId="5" fillId="4" borderId="1" applyAlignment="1" pivotButton="0" quotePrefix="0" xfId="0">
      <alignment horizontal="right" vertical="center"/>
    </xf>
    <xf numFmtId="3" fontId="11"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pane ySplit="1" topLeftCell="A2" activePane="bottomLeft" state="frozen"/>
      <selection pane="bottomLeft" activeCell="A1" sqref="A1"/>
    </sheetView>
  </sheetViews>
  <sheetFormatPr baseColWidth="8" defaultRowHeight="15"/>
  <cols>
    <col width="28" customWidth="1" min="1" max="1"/>
    <col width="65" customWidth="1" min="2" max="2"/>
    <col width="55" customWidth="1" min="3" max="3"/>
  </cols>
  <sheetData>
    <row r="1" ht="28" customHeight="1">
      <c r="A1" s="1" t="inlineStr">
        <is>
          <t>PSO LUBRICANTS -- PRICING STRATEGY WORKBOOK v2</t>
        </is>
      </c>
    </row>
    <row r="2" ht="40" customHeight="1">
      <c r="A2" s="2" t="inlineStr">
        <is>
          <t>Data: Daraz.pk scrape (365 listings) + PSO Lubes Data Final.xlsx | July 2026 | 8 Pricing Frameworks | 45 SKUs</t>
        </is>
      </c>
    </row>
    <row r="3" ht="8" customHeight="1"/>
    <row r="4" ht="18" customHeight="1">
      <c r="A4" s="3" t="inlineStr">
        <is>
          <t>SHEET GUIDE</t>
        </is>
      </c>
    </row>
    <row r="5" ht="17" customHeight="1">
      <c r="A5" s="4" t="inlineStr">
        <is>
          <t>Sheet</t>
        </is>
      </c>
      <c r="B5" s="4" t="inlineStr">
        <is>
          <t>Description</t>
        </is>
      </c>
    </row>
    <row r="6" ht="20" customHeight="1">
      <c r="A6" s="5" t="inlineStr">
        <is>
          <t>README</t>
        </is>
      </c>
      <c r="B6" s="6" t="inlineStr">
        <is>
          <t>This overview and navigation guide</t>
        </is>
      </c>
    </row>
    <row r="7" ht="20" customHeight="1">
      <c r="A7" s="7" t="inlineStr">
        <is>
          <t>Competitor Data</t>
        </is>
      </c>
      <c r="B7" s="8" t="inlineStr">
        <is>
          <t>365 motor oil listings scraped from Daraz.pk -- basis for all market benchmarks</t>
        </is>
      </c>
    </row>
    <row r="8" ht="20" customHeight="1">
      <c r="A8" s="5" t="inlineStr">
        <is>
          <t>F1 - Value Tiering</t>
        </is>
      </c>
      <c r="B8" s="6" t="inlineStr">
        <is>
          <t>Shell-equivalent benchmarking. F1 = Shell tier median x (1 - brand discount). Weight: 30%</t>
        </is>
      </c>
    </row>
    <row r="9" ht="20" customHeight="1">
      <c r="A9" s="7" t="inlineStr">
        <is>
          <t>F2 - Market Ref Price</t>
        </is>
      </c>
      <c r="B9" s="8" t="inlineStr">
        <is>
          <t>Market median price x 0.97 positioning. Weight: 30%</t>
        </is>
      </c>
    </row>
    <row r="10" ht="20" customHeight="1">
      <c r="A10" s="5" t="inlineStr">
        <is>
          <t>F3 - Pack Architecture</t>
        </is>
      </c>
      <c r="B10" s="6" t="inlineStr">
        <is>
          <t>Price ladder by pack size. F3 = 4L anchor x PPA multiplier. Weight: 20%</t>
        </is>
      </c>
    </row>
    <row r="11" ht="20" customHeight="1">
      <c r="A11" s="7" t="inlineStr">
        <is>
          <t>F4 - Cost Waterfall</t>
        </is>
      </c>
      <c r="B11" s="8" t="inlineStr">
        <is>
          <t>McKinsey cost build-up. Hard floor -- overrides synthesis if violated.</t>
        </is>
      </c>
    </row>
    <row r="12" ht="20" customHeight="1">
      <c r="A12" s="5" t="inlineStr">
        <is>
          <t>F5 - Spec Premium</t>
        </is>
      </c>
      <c r="B12" s="6" t="inlineStr">
        <is>
          <t>API/ACEA specification uplift. F5 = Economy baseline x (1 + spec%). Weight: 10%</t>
        </is>
      </c>
    </row>
    <row r="13" ht="20" customHeight="1">
      <c r="A13" s="7" t="inlineStr">
        <is>
          <t>F6 - Geographic</t>
        </is>
      </c>
      <c r="B13" s="8" t="inlineStr">
        <is>
          <t>Regional price adjustments from PSO volume data. Quarterly promotional overlay.</t>
        </is>
      </c>
    </row>
    <row r="14" ht="20" customHeight="1">
      <c r="A14" s="5" t="inlineStr">
        <is>
          <t>F7 - Base Oil Floor</t>
        </is>
      </c>
      <c r="B14" s="6" t="inlineStr">
        <is>
          <t>Sanity check floor: F7 = (Base oil + Additive + Rs 50) x 2.8x markup</t>
        </is>
      </c>
    </row>
    <row r="15" ht="20" customHeight="1">
      <c r="A15" s="7" t="inlineStr">
        <is>
          <t>F8 - Channel Pricing</t>
        </is>
      </c>
      <c r="B15" s="8" t="inlineStr">
        <is>
          <t>Channel cascade: Retail 0% / Workshop -12% / Distributor -15% / Fleet -20%</t>
        </is>
      </c>
    </row>
    <row r="16" ht="20" customHeight="1">
      <c r="A16" s="5" t="inlineStr">
        <is>
          <t>Summary</t>
        </is>
      </c>
      <c r="B16" s="6" t="inlineStr">
        <is>
          <t>All 45 SKUs with every framework price, weighted synthesis, and final recommendation</t>
        </is>
      </c>
    </row>
    <row r="18" ht="8" customHeight="1"/>
    <row r="19" ht="18" customHeight="1">
      <c r="A19" s="3" t="inlineStr">
        <is>
          <t>FORMULA REFERENCE</t>
        </is>
      </c>
    </row>
    <row r="20" ht="17" customHeight="1">
      <c r="A20" s="4" t="inlineStr">
        <is>
          <t>Framework</t>
        </is>
      </c>
      <c r="B20" s="4" t="inlineStr">
        <is>
          <t>Formula Pattern</t>
        </is>
      </c>
      <c r="C20" s="4" t="inlineStr">
        <is>
          <t>Notes</t>
        </is>
      </c>
    </row>
    <row r="21" ht="18" customHeight="1">
      <c r="A21" s="7" t="inlineStr">
        <is>
          <t>F1 Value Tiering</t>
        </is>
      </c>
      <c r="B21" s="9">
        <f> Shell_Tier_Median x (1 - Brand_Discount%)</f>
        <v/>
      </c>
      <c r="C21" s="8" t="inlineStr">
        <is>
          <t>8%/6%/4%/2% discount by tier; Shell benchmark from Daraz medians</t>
        </is>
      </c>
    </row>
    <row r="22" ht="18" customHeight="1">
      <c r="A22" s="7" t="inlineStr">
        <is>
          <t>F2 Market Ref</t>
        </is>
      </c>
      <c r="B22" s="9">
        <f> Market_Median x 0.97</f>
        <v/>
      </c>
      <c r="C22" s="8" t="inlineStr">
        <is>
          <t>3% below market median = best value, not cheapest</t>
        </is>
      </c>
    </row>
    <row r="23" ht="18" customHeight="1">
      <c r="A23" s="7" t="inlineStr">
        <is>
          <t>F3 Pack Arch</t>
        </is>
      </c>
      <c r="B23" s="9">
        <f> 4L_Market_Anchor x PPA_Multiplier</f>
        <v/>
      </c>
      <c r="C23" s="8" t="inlineStr">
        <is>
          <t>Multiplier: 1L=1.40x, 3L=1.12x, 4L=1.00x (anchor)</t>
        </is>
      </c>
    </row>
    <row r="24" ht="18" customHeight="1">
      <c r="A24" s="7" t="inlineStr">
        <is>
          <t>F4 Waterfall</t>
        </is>
      </c>
      <c r="B24" s="9">
        <f> (BO + Additive + Pkg) / (1 - Margin%) / (1 - 20%)</f>
        <v/>
      </c>
      <c r="C24" s="8" t="inlineStr">
        <is>
          <t>Pocket price floor then divide by fleet discount</t>
        </is>
      </c>
    </row>
    <row r="25" ht="18" customHeight="1">
      <c r="A25" s="7" t="inlineStr">
        <is>
          <t>F5 Spec Premium</t>
        </is>
      </c>
      <c r="B25" s="9">
        <f> Economy_Baseline x (1 + Spec_Uplift%)</f>
        <v/>
      </c>
      <c r="C25" s="8" t="inlineStr">
        <is>
          <t>Uplift: Super Prem 28%, Premium 18%, Mainstream 8%</t>
        </is>
      </c>
    </row>
    <row r="26" ht="18" customHeight="1">
      <c r="A26" s="7" t="inlineStr">
        <is>
          <t>F6 Geographic</t>
        </is>
      </c>
      <c r="B26" s="9">
        <f> F2_National x (1 + Regional_Signal%)</f>
        <v/>
      </c>
      <c r="C26" s="8" t="inlineStr">
        <is>
          <t>Central +2-5%, North -2-8%, South = baseline</t>
        </is>
      </c>
    </row>
    <row r="27" ht="18" customHeight="1">
      <c r="A27" s="7" t="inlineStr">
        <is>
          <t>F7 Base Oil Floor</t>
        </is>
      </c>
      <c r="B27" s="9">
        <f> (BO_Cost + Additive + 50) x 2.8</f>
        <v/>
      </c>
      <c r="C27" s="8" t="inlineStr">
        <is>
          <t>2.8x = industry retail lubricants markup multiple</t>
        </is>
      </c>
    </row>
    <row r="28" ht="18" customHeight="1">
      <c r="A28" s="7" t="inlineStr">
        <is>
          <t>F8 Channel</t>
        </is>
      </c>
      <c r="B28" s="9">
        <f> List_Price x (1 - Channel_Discount%)</f>
        <v/>
      </c>
      <c r="C28" s="8" t="inlineStr">
        <is>
          <t>0% / 12% / 15% / 20% off list by channel</t>
        </is>
      </c>
    </row>
    <row r="29" ht="18" customHeight="1">
      <c r="A29" s="7" t="inlineStr">
        <is>
          <t>Synthesis</t>
        </is>
      </c>
      <c r="B29" s="9">
        <f> SUM(F_i x Weight_i) / SUM(Weight_i)</f>
        <v/>
      </c>
      <c r="C29" s="8" t="inlineStr">
        <is>
          <t>F1=30%, F2=30%, F3=20%, F5=10%, F4=10%</t>
        </is>
      </c>
    </row>
    <row r="30" ht="18" customHeight="1">
      <c r="A30" s="7" t="inlineStr">
        <is>
          <t>Final Rec</t>
        </is>
      </c>
      <c r="B30" s="9">
        <f> MAX(Synthesis, F4_Floor)</f>
        <v/>
      </c>
      <c r="C30" s="8" t="inlineStr">
        <is>
          <t>Hard floor ensures margin is never destroyed</t>
        </is>
      </c>
    </row>
  </sheetData>
  <mergeCells count="4">
    <mergeCell ref="A4:H4"/>
    <mergeCell ref="A19:H19"/>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79"/>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9" customWidth="1" min="3" max="3"/>
    <col width="8" customWidth="1" min="4" max="4"/>
    <col width="10" customWidth="1" min="5" max="5"/>
    <col width="12" customWidth="1" min="6" max="6"/>
    <col width="14" customWidth="1" min="7" max="7"/>
    <col width="65" customWidth="1" min="8" max="8"/>
    <col width="10" customWidth="1" min="9" max="9"/>
  </cols>
  <sheetData>
    <row r="1" ht="28" customHeight="1">
      <c r="A1" s="10" t="inlineStr">
        <is>
          <t>COMPETITOR PRICING DATA -- Daraz.pk Scrape (July 2026)</t>
        </is>
      </c>
    </row>
    <row r="2" ht="35" customHeight="1">
      <c r="A2" s="2" t="inlineStr">
        <is>
          <t>365 motor oil listings scraped from Daraz.pk, normalised to Price/Litre (PKR) for cross-pack comparison. Source of truth for all F1, F2, F3, and F5 framework calculations. PSO listings are highlighted but excluded from market benchmark statistics.</t>
        </is>
      </c>
    </row>
    <row r="3" ht="8" customHeight="1"/>
    <row r="4" ht="17" customHeight="1">
      <c r="A4" s="4" t="inlineStr">
        <is>
          <t>#</t>
        </is>
      </c>
      <c r="B4" s="4" t="inlineStr">
        <is>
          <t>Brand</t>
        </is>
      </c>
      <c r="C4" s="4" t="inlineStr">
        <is>
          <t>Grade</t>
        </is>
      </c>
      <c r="D4" s="4" t="inlineStr">
        <is>
          <t>Pack (L)</t>
        </is>
      </c>
      <c r="E4" s="4" t="inlineStr">
        <is>
          <t>Oil Type</t>
        </is>
      </c>
      <c r="F4" s="4" t="inlineStr">
        <is>
          <t>Price/L (PKR)</t>
        </is>
      </c>
      <c r="G4" s="4" t="inlineStr">
        <is>
          <t>Total Price (PKR)</t>
        </is>
      </c>
      <c r="H4" s="4" t="inlineStr">
        <is>
          <t>Product Title</t>
        </is>
      </c>
      <c r="I4" s="4" t="inlineStr">
        <is>
          <t>Platform</t>
        </is>
      </c>
    </row>
    <row r="5" ht="15" customHeight="1">
      <c r="A5" s="11" t="n">
        <v>1</v>
      </c>
      <c r="B5" s="8" t="inlineStr">
        <is>
          <t>ZIC</t>
        </is>
      </c>
      <c r="C5" s="8" t="inlineStr">
        <is>
          <t>10W-40</t>
        </is>
      </c>
      <c r="D5" s="12" t="n">
        <v>4</v>
      </c>
      <c r="E5" s="8" t="inlineStr">
        <is>
          <t>HDEO</t>
        </is>
      </c>
      <c r="F5" s="13" t="n">
        <v>1124.75</v>
      </c>
      <c r="G5" s="13" t="n">
        <v>4499</v>
      </c>
      <c r="H5" s="8" t="inlineStr">
        <is>
          <t>Zic x6000 10w40 4LTR synthethic engine oil for Diesel Engine</t>
        </is>
      </c>
      <c r="I5" s="8" t="inlineStr">
        <is>
          <t>Daraz</t>
        </is>
      </c>
    </row>
    <row r="6" ht="15" customHeight="1">
      <c r="A6" s="11" t="n">
        <v>2</v>
      </c>
      <c r="B6" s="8" t="inlineStr">
        <is>
          <t>ZIC</t>
        </is>
      </c>
      <c r="C6" s="8" t="inlineStr">
        <is>
          <t>10W-40</t>
        </is>
      </c>
      <c r="D6" s="12" t="n">
        <v>4</v>
      </c>
      <c r="E6" s="8" t="inlineStr">
        <is>
          <t>HDEO</t>
        </is>
      </c>
      <c r="F6" s="13" t="n">
        <v>1149.75</v>
      </c>
      <c r="G6" s="13" t="n">
        <v>4599</v>
      </c>
      <c r="H6" s="8" t="inlineStr">
        <is>
          <t>Zic x6000 10w40 4LTR synthethic engine oil for Diesel Engine</t>
        </is>
      </c>
      <c r="I6" s="8" t="inlineStr">
        <is>
          <t>Daraz</t>
        </is>
      </c>
    </row>
    <row r="7" ht="15" customHeight="1">
      <c r="A7" s="11" t="n">
        <v>3</v>
      </c>
      <c r="B7" s="8" t="inlineStr">
        <is>
          <t>ZIC</t>
        </is>
      </c>
      <c r="C7" s="8" t="inlineStr">
        <is>
          <t>10W-40</t>
        </is>
      </c>
      <c r="D7" s="12" t="n">
        <v>4</v>
      </c>
      <c r="E7" s="8" t="inlineStr">
        <is>
          <t>HDEO</t>
        </is>
      </c>
      <c r="F7" s="13" t="n">
        <v>1149.75</v>
      </c>
      <c r="G7" s="13" t="n">
        <v>4599</v>
      </c>
      <c r="H7" s="8" t="inlineStr">
        <is>
          <t>Zic x6000 10w40 4LTR synthethic engine oil for Diesel Engine</t>
        </is>
      </c>
      <c r="I7" s="8" t="inlineStr">
        <is>
          <t>Daraz</t>
        </is>
      </c>
    </row>
    <row r="8" ht="15" customHeight="1">
      <c r="A8" s="11" t="n">
        <v>4</v>
      </c>
      <c r="B8" s="8" t="inlineStr">
        <is>
          <t>ZIC</t>
        </is>
      </c>
      <c r="C8" s="8" t="inlineStr">
        <is>
          <t>10W-40</t>
        </is>
      </c>
      <c r="D8" s="12" t="n">
        <v>4</v>
      </c>
      <c r="E8" s="8" t="inlineStr">
        <is>
          <t>HDEO</t>
        </is>
      </c>
      <c r="F8" s="13" t="n">
        <v>1149.75</v>
      </c>
      <c r="G8" s="13" t="n">
        <v>4599</v>
      </c>
      <c r="H8" s="8" t="inlineStr">
        <is>
          <t>Zic x6000 10w40 4LTR synthethic engine oil for Diesel Engine</t>
        </is>
      </c>
      <c r="I8" s="8" t="inlineStr">
        <is>
          <t>Daraz</t>
        </is>
      </c>
    </row>
    <row r="9" ht="15" customHeight="1">
      <c r="A9" s="11" t="n">
        <v>5</v>
      </c>
      <c r="B9" s="8" t="inlineStr">
        <is>
          <t>ZIC</t>
        </is>
      </c>
      <c r="C9" s="8" t="inlineStr">
        <is>
          <t>10W-40</t>
        </is>
      </c>
      <c r="D9" s="12" t="n">
        <v>4</v>
      </c>
      <c r="E9" s="8" t="inlineStr">
        <is>
          <t>HDEO</t>
        </is>
      </c>
      <c r="F9" s="13" t="n">
        <v>2149.75</v>
      </c>
      <c r="G9" s="13" t="n">
        <v>8599</v>
      </c>
      <c r="H9" s="8" t="inlineStr">
        <is>
          <t>Zic x6000 10w40 4LTR synthethic engine oil for Diesel Engine</t>
        </is>
      </c>
      <c r="I9" s="8" t="inlineStr">
        <is>
          <t>Daraz</t>
        </is>
      </c>
    </row>
    <row r="10" ht="15" customHeight="1">
      <c r="A10" s="11" t="n">
        <v>6</v>
      </c>
      <c r="B10" s="8" t="inlineStr">
        <is>
          <t>ZIC</t>
        </is>
      </c>
      <c r="C10" s="8" t="inlineStr">
        <is>
          <t>10W-40</t>
        </is>
      </c>
      <c r="D10" s="12" t="n">
        <v>4</v>
      </c>
      <c r="E10" s="8" t="inlineStr">
        <is>
          <t>HDEO</t>
        </is>
      </c>
      <c r="F10" s="13" t="n">
        <v>1149.75</v>
      </c>
      <c r="G10" s="13" t="n">
        <v>4599</v>
      </c>
      <c r="H10" s="8" t="inlineStr">
        <is>
          <t>Zic x6000 10w40 4LTR synthethic engine oil for Diesel Engine</t>
        </is>
      </c>
      <c r="I10" s="8" t="inlineStr">
        <is>
          <t>Daraz</t>
        </is>
      </c>
    </row>
    <row r="11" ht="15" customHeight="1">
      <c r="A11" s="11" t="n">
        <v>7</v>
      </c>
      <c r="B11" s="8" t="inlineStr">
        <is>
          <t>Caltex Delo</t>
        </is>
      </c>
      <c r="C11" s="8" t="inlineStr">
        <is>
          <t>15W-40</t>
        </is>
      </c>
      <c r="D11" s="12" t="n">
        <v>4</v>
      </c>
      <c r="E11" s="8" t="inlineStr">
        <is>
          <t>HDEO</t>
        </is>
      </c>
      <c r="F11" s="13" t="n">
        <v>2262.25</v>
      </c>
      <c r="G11" s="13" t="n">
        <v>9049</v>
      </c>
      <c r="H11" s="8" t="inlineStr">
        <is>
          <t>Caltex Delo 15W40 4LTR engine oil for Diesel Engine</t>
        </is>
      </c>
      <c r="I11" s="8" t="inlineStr">
        <is>
          <t>Daraz</t>
        </is>
      </c>
    </row>
    <row r="12" ht="15" customHeight="1">
      <c r="A12" s="11" t="n">
        <v>8</v>
      </c>
      <c r="B12" s="8" t="inlineStr">
        <is>
          <t>Caltex Delo</t>
        </is>
      </c>
      <c r="C12" s="8" t="inlineStr">
        <is>
          <t>15W-40</t>
        </is>
      </c>
      <c r="D12" s="12" t="n">
        <v>4</v>
      </c>
      <c r="E12" s="8" t="inlineStr">
        <is>
          <t>HDEO</t>
        </is>
      </c>
      <c r="F12" s="13" t="n">
        <v>2262.25</v>
      </c>
      <c r="G12" s="13" t="n">
        <v>9049</v>
      </c>
      <c r="H12" s="8" t="inlineStr">
        <is>
          <t>Caltex Delo 15W40 4LTR engine oil for Diesel Engine</t>
        </is>
      </c>
      <c r="I12" s="8" t="inlineStr">
        <is>
          <t>Daraz</t>
        </is>
      </c>
    </row>
    <row r="13" ht="15" customHeight="1">
      <c r="A13" s="11" t="n">
        <v>9</v>
      </c>
      <c r="B13" s="8" t="inlineStr">
        <is>
          <t>Caltex Delo</t>
        </is>
      </c>
      <c r="C13" s="8" t="inlineStr">
        <is>
          <t>15W-40</t>
        </is>
      </c>
      <c r="D13" s="12" t="n">
        <v>4</v>
      </c>
      <c r="E13" s="8" t="inlineStr">
        <is>
          <t>HDEO</t>
        </is>
      </c>
      <c r="F13" s="13" t="n">
        <v>2262.25</v>
      </c>
      <c r="G13" s="13" t="n">
        <v>9049</v>
      </c>
      <c r="H13" s="8" t="inlineStr">
        <is>
          <t>Caltex Delo 15W40 4LTR engine oil for Diesel Engine</t>
        </is>
      </c>
      <c r="I13" s="8" t="inlineStr">
        <is>
          <t>Daraz</t>
        </is>
      </c>
    </row>
    <row r="14" ht="15" customHeight="1">
      <c r="A14" s="11" t="n">
        <v>10</v>
      </c>
      <c r="B14" s="8" t="inlineStr">
        <is>
          <t>Caltex Delo</t>
        </is>
      </c>
      <c r="C14" s="8" t="inlineStr">
        <is>
          <t>15W-40</t>
        </is>
      </c>
      <c r="D14" s="12" t="n">
        <v>4</v>
      </c>
      <c r="E14" s="8" t="inlineStr">
        <is>
          <t>HDEO</t>
        </is>
      </c>
      <c r="F14" s="13" t="n">
        <v>2262.25</v>
      </c>
      <c r="G14" s="13" t="n">
        <v>9049</v>
      </c>
      <c r="H14" s="8" t="inlineStr">
        <is>
          <t>Caltex Delo 15W40 4LTR engine oil for Diesel Engine</t>
        </is>
      </c>
      <c r="I14" s="8" t="inlineStr">
        <is>
          <t>Daraz</t>
        </is>
      </c>
    </row>
    <row r="15" ht="15" customHeight="1">
      <c r="A15" s="11" t="n">
        <v>11</v>
      </c>
      <c r="B15" s="8" t="inlineStr">
        <is>
          <t>Caltex Delo</t>
        </is>
      </c>
      <c r="C15" s="8" t="inlineStr">
        <is>
          <t>15W-40</t>
        </is>
      </c>
      <c r="D15" s="12" t="n">
        <v>4</v>
      </c>
      <c r="E15" s="8" t="inlineStr">
        <is>
          <t>HDEO</t>
        </is>
      </c>
      <c r="F15" s="13" t="n">
        <v>2262.25</v>
      </c>
      <c r="G15" s="13" t="n">
        <v>9049</v>
      </c>
      <c r="H15" s="8" t="inlineStr">
        <is>
          <t>Caltex Delo 15W40 4LTR engine oil for Diesel Engine</t>
        </is>
      </c>
      <c r="I15" s="8" t="inlineStr">
        <is>
          <t>Daraz</t>
        </is>
      </c>
    </row>
    <row r="16" ht="15" customHeight="1">
      <c r="A16" s="11" t="n">
        <v>12</v>
      </c>
      <c r="B16" s="8" t="inlineStr">
        <is>
          <t>Caltex Delo</t>
        </is>
      </c>
      <c r="C16" s="8" t="inlineStr">
        <is>
          <t>15W-40</t>
        </is>
      </c>
      <c r="D16" s="12" t="n">
        <v>4</v>
      </c>
      <c r="E16" s="8" t="inlineStr">
        <is>
          <t>HDEO</t>
        </is>
      </c>
      <c r="F16" s="13" t="n">
        <v>2262.25</v>
      </c>
      <c r="G16" s="13" t="n">
        <v>9049</v>
      </c>
      <c r="H16" s="8" t="inlineStr">
        <is>
          <t>Caltex Delo 15W40 4LTR engine oil for Diesel Engine</t>
        </is>
      </c>
      <c r="I16" s="8" t="inlineStr">
        <is>
          <t>Daraz</t>
        </is>
      </c>
    </row>
    <row r="17" ht="15" customHeight="1">
      <c r="A17" s="11" t="n">
        <v>13</v>
      </c>
      <c r="B17" s="8" t="inlineStr">
        <is>
          <t>Kixx</t>
        </is>
      </c>
      <c r="C17" s="8" t="inlineStr">
        <is>
          <t>15W-40</t>
        </is>
      </c>
      <c r="D17" s="12" t="n">
        <v>4</v>
      </c>
      <c r="E17" s="8" t="inlineStr">
        <is>
          <t>HDEO</t>
        </is>
      </c>
      <c r="F17" s="13" t="n">
        <v>1087.5</v>
      </c>
      <c r="G17" s="13" t="n">
        <v>4350</v>
      </c>
      <c r="H17" s="8" t="inlineStr">
        <is>
          <t>Kixx HD1 15W40 APU CL-4 ACEA E7 High Grade Diesel Engine Oil 4L.Semi Synthetic</t>
        </is>
      </c>
      <c r="I17" s="8" t="inlineStr">
        <is>
          <t>Daraz</t>
        </is>
      </c>
    </row>
    <row r="18" ht="15" customHeight="1">
      <c r="A18" s="11" t="n">
        <v>14</v>
      </c>
      <c r="B18" s="8" t="inlineStr">
        <is>
          <t>ZIC</t>
        </is>
      </c>
      <c r="C18" s="8" t="inlineStr">
        <is>
          <t>15W-40</t>
        </is>
      </c>
      <c r="D18" s="12" t="n">
        <v>4</v>
      </c>
      <c r="E18" s="8" t="inlineStr">
        <is>
          <t>HDEO</t>
        </is>
      </c>
      <c r="F18" s="13" t="n">
        <v>2125</v>
      </c>
      <c r="G18" s="13" t="n">
        <v>8500</v>
      </c>
      <c r="H18" s="8" t="inlineStr">
        <is>
          <t>Zic X5000 15W40 4LTR Synthetic Engine Oil for Diesel Engine</t>
        </is>
      </c>
      <c r="I18" s="8" t="inlineStr">
        <is>
          <t>Daraz</t>
        </is>
      </c>
    </row>
    <row r="19" ht="15" customHeight="1">
      <c r="A19" s="11" t="n">
        <v>15</v>
      </c>
      <c r="B19" s="8" t="inlineStr">
        <is>
          <t>Caltex Delo</t>
        </is>
      </c>
      <c r="C19" s="8" t="inlineStr">
        <is>
          <t>20W-50</t>
        </is>
      </c>
      <c r="D19" s="12" t="n">
        <v>4</v>
      </c>
      <c r="E19" s="8" t="inlineStr">
        <is>
          <t>HDEO</t>
        </is>
      </c>
      <c r="F19" s="13" t="n">
        <v>1899.75</v>
      </c>
      <c r="G19" s="13" t="n">
        <v>7599</v>
      </c>
      <c r="H19" s="8" t="inlineStr">
        <is>
          <t>Caltex Delo Silver 20w50 4LTR engine oil for Diesel Engine</t>
        </is>
      </c>
      <c r="I19" s="8" t="inlineStr">
        <is>
          <t>Daraz</t>
        </is>
      </c>
    </row>
    <row r="20" ht="15" customHeight="1">
      <c r="A20" s="11" t="n">
        <v>16</v>
      </c>
      <c r="B20" s="8" t="inlineStr">
        <is>
          <t>Caltex Delo</t>
        </is>
      </c>
      <c r="C20" s="8" t="inlineStr">
        <is>
          <t>20W-50</t>
        </is>
      </c>
      <c r="D20" s="12" t="n">
        <v>4</v>
      </c>
      <c r="E20" s="8" t="inlineStr">
        <is>
          <t>HDEO</t>
        </is>
      </c>
      <c r="F20" s="13" t="n">
        <v>1899.75</v>
      </c>
      <c r="G20" s="13" t="n">
        <v>7599</v>
      </c>
      <c r="H20" s="8" t="inlineStr">
        <is>
          <t>Caltex Delo Silver 20w50 4LTR engine oil for Diesel Engine</t>
        </is>
      </c>
      <c r="I20" s="8" t="inlineStr">
        <is>
          <t>Daraz</t>
        </is>
      </c>
    </row>
    <row r="21" ht="15" customHeight="1">
      <c r="A21" s="11" t="n">
        <v>17</v>
      </c>
      <c r="B21" s="8" t="inlineStr">
        <is>
          <t>Caltex Delo</t>
        </is>
      </c>
      <c r="C21" s="8" t="inlineStr">
        <is>
          <t>20W-50</t>
        </is>
      </c>
      <c r="D21" s="12" t="n">
        <v>4</v>
      </c>
      <c r="E21" s="8" t="inlineStr">
        <is>
          <t>HDEO</t>
        </is>
      </c>
      <c r="F21" s="13" t="n">
        <v>1899.75</v>
      </c>
      <c r="G21" s="13" t="n">
        <v>7599</v>
      </c>
      <c r="H21" s="8" t="inlineStr">
        <is>
          <t>Caltex Delo Silver 20w50 4LTR engine oil for Diesel Engine</t>
        </is>
      </c>
      <c r="I21" s="8" t="inlineStr">
        <is>
          <t>Daraz</t>
        </is>
      </c>
    </row>
    <row r="22" ht="15" customHeight="1">
      <c r="A22" s="11" t="n">
        <v>18</v>
      </c>
      <c r="B22" s="8" t="inlineStr">
        <is>
          <t>Caltex Delo</t>
        </is>
      </c>
      <c r="C22" s="8" t="inlineStr">
        <is>
          <t>20W-50</t>
        </is>
      </c>
      <c r="D22" s="12" t="n">
        <v>4</v>
      </c>
      <c r="E22" s="8" t="inlineStr">
        <is>
          <t>HDEO</t>
        </is>
      </c>
      <c r="F22" s="13" t="n">
        <v>1899.75</v>
      </c>
      <c r="G22" s="13" t="n">
        <v>7599</v>
      </c>
      <c r="H22" s="8" t="inlineStr">
        <is>
          <t>Caltex Delo Silver 20w50 4LTR engine oil for Diesel Engine</t>
        </is>
      </c>
      <c r="I22" s="8" t="inlineStr">
        <is>
          <t>Daraz</t>
        </is>
      </c>
    </row>
    <row r="23" ht="15" customHeight="1">
      <c r="A23" s="11" t="n">
        <v>19</v>
      </c>
      <c r="B23" s="8" t="inlineStr">
        <is>
          <t>Caltex Delo</t>
        </is>
      </c>
      <c r="C23" s="8" t="inlineStr">
        <is>
          <t>20W-50</t>
        </is>
      </c>
      <c r="D23" s="12" t="n">
        <v>4</v>
      </c>
      <c r="E23" s="8" t="inlineStr">
        <is>
          <t>HDEO</t>
        </is>
      </c>
      <c r="F23" s="13" t="n">
        <v>1899.75</v>
      </c>
      <c r="G23" s="13" t="n">
        <v>7599</v>
      </c>
      <c r="H23" s="8" t="inlineStr">
        <is>
          <t>Caltex Delo Silver 20w50 4LTR engine oil for Diesel Engine</t>
        </is>
      </c>
      <c r="I23" s="8" t="inlineStr">
        <is>
          <t>Daraz</t>
        </is>
      </c>
    </row>
    <row r="24" ht="15" customHeight="1">
      <c r="A24" s="11" t="n">
        <v>20</v>
      </c>
      <c r="B24" s="8" t="inlineStr">
        <is>
          <t>Kixx</t>
        </is>
      </c>
      <c r="C24" s="8" t="inlineStr">
        <is>
          <t>20W-50</t>
        </is>
      </c>
      <c r="D24" s="12" t="n">
        <v>4</v>
      </c>
      <c r="E24" s="8" t="inlineStr">
        <is>
          <t>HDEO</t>
        </is>
      </c>
      <c r="F24" s="13" t="n">
        <v>2374.75</v>
      </c>
      <c r="G24" s="13" t="n">
        <v>9499</v>
      </c>
      <c r="H24" s="8" t="inlineStr">
        <is>
          <t>KIXX HD 20w50 4LTR synthetic engine oil for diesel engine</t>
        </is>
      </c>
      <c r="I24" s="8" t="inlineStr">
        <is>
          <t>Daraz</t>
        </is>
      </c>
    </row>
    <row r="25" ht="15" customHeight="1">
      <c r="A25" s="11" t="n">
        <v>21</v>
      </c>
      <c r="B25" s="8" t="inlineStr">
        <is>
          <t>Kixx</t>
        </is>
      </c>
      <c r="C25" s="8" t="inlineStr">
        <is>
          <t>20W-50</t>
        </is>
      </c>
      <c r="D25" s="12" t="n">
        <v>4</v>
      </c>
      <c r="E25" s="8" t="inlineStr">
        <is>
          <t>HDEO</t>
        </is>
      </c>
      <c r="F25" s="13" t="n">
        <v>2374.75</v>
      </c>
      <c r="G25" s="13" t="n">
        <v>9499</v>
      </c>
      <c r="H25" s="8" t="inlineStr">
        <is>
          <t>KIXX HD 20w50 4LTR synthetic engine oil for diesel engine</t>
        </is>
      </c>
      <c r="I25" s="8" t="inlineStr">
        <is>
          <t>Daraz</t>
        </is>
      </c>
    </row>
    <row r="26" ht="15" customHeight="1">
      <c r="A26" s="11" t="n">
        <v>22</v>
      </c>
      <c r="B26" s="8" t="inlineStr">
        <is>
          <t>Kixx</t>
        </is>
      </c>
      <c r="C26" s="8" t="inlineStr">
        <is>
          <t>20W-50</t>
        </is>
      </c>
      <c r="D26" s="12" t="n">
        <v>6</v>
      </c>
      <c r="E26" s="8" t="inlineStr">
        <is>
          <t>HDEO</t>
        </is>
      </c>
      <c r="F26" s="13" t="n">
        <v>1041.2</v>
      </c>
      <c r="G26" s="13" t="n">
        <v>6247.2</v>
      </c>
      <c r="H26" s="8" t="inlineStr">
        <is>
          <t>Kixx HD CF-4 20W-50 6L</t>
        </is>
      </c>
      <c r="I26" s="8" t="inlineStr">
        <is>
          <t>Daraz</t>
        </is>
      </c>
    </row>
    <row r="27" ht="15" customHeight="1">
      <c r="A27" s="11" t="n">
        <v>23</v>
      </c>
      <c r="B27" s="8" t="inlineStr">
        <is>
          <t>Kixx</t>
        </is>
      </c>
      <c r="C27" s="8" t="inlineStr">
        <is>
          <t>20W-50</t>
        </is>
      </c>
      <c r="D27" s="12" t="n">
        <v>6</v>
      </c>
      <c r="E27" s="8" t="inlineStr">
        <is>
          <t>HDEO</t>
        </is>
      </c>
      <c r="F27" s="13" t="n">
        <v>1041.2</v>
      </c>
      <c r="G27" s="13" t="n">
        <v>6247.2</v>
      </c>
      <c r="H27" s="8" t="inlineStr">
        <is>
          <t>Kixx HD CF-4 20W-50 6L</t>
        </is>
      </c>
      <c r="I27" s="8" t="inlineStr">
        <is>
          <t>Daraz</t>
        </is>
      </c>
    </row>
    <row r="28" ht="15" customHeight="1">
      <c r="A28" s="11" t="n">
        <v>24</v>
      </c>
      <c r="B28" s="8" t="inlineStr">
        <is>
          <t>Kixx</t>
        </is>
      </c>
      <c r="C28" s="8" t="inlineStr">
        <is>
          <t>20W-50</t>
        </is>
      </c>
      <c r="D28" s="12" t="n">
        <v>6</v>
      </c>
      <c r="E28" s="8" t="inlineStr">
        <is>
          <t>HDEO</t>
        </is>
      </c>
      <c r="F28" s="13" t="n">
        <v>1075</v>
      </c>
      <c r="G28" s="13" t="n">
        <v>6450</v>
      </c>
      <c r="H28" s="8" t="inlineStr">
        <is>
          <t>Kixx HD CF-4 20W-50 6L</t>
        </is>
      </c>
      <c r="I28" s="8" t="inlineStr">
        <is>
          <t>Daraz</t>
        </is>
      </c>
    </row>
    <row r="29" ht="15" customHeight="1">
      <c r="A29" s="11" t="n">
        <v>25</v>
      </c>
      <c r="B29" s="8" t="inlineStr">
        <is>
          <t>Kixx</t>
        </is>
      </c>
      <c r="C29" s="8" t="inlineStr">
        <is>
          <t>20W-50</t>
        </is>
      </c>
      <c r="D29" s="12" t="n">
        <v>6</v>
      </c>
      <c r="E29" s="8" t="inlineStr">
        <is>
          <t>HDEO</t>
        </is>
      </c>
      <c r="F29" s="13" t="n">
        <v>1041.2</v>
      </c>
      <c r="G29" s="13" t="n">
        <v>6247.2</v>
      </c>
      <c r="H29" s="8" t="inlineStr">
        <is>
          <t>Kixx HD CF-4 20W-50 6L</t>
        </is>
      </c>
      <c r="I29" s="8" t="inlineStr">
        <is>
          <t>Daraz</t>
        </is>
      </c>
    </row>
    <row r="30" ht="15" customHeight="1">
      <c r="A30" s="11" t="n">
        <v>26</v>
      </c>
      <c r="B30" s="8" t="inlineStr">
        <is>
          <t>Kixx</t>
        </is>
      </c>
      <c r="C30" s="8" t="inlineStr">
        <is>
          <t>20W-50</t>
        </is>
      </c>
      <c r="D30" s="12" t="n">
        <v>6</v>
      </c>
      <c r="E30" s="8" t="inlineStr">
        <is>
          <t>HDEO</t>
        </is>
      </c>
      <c r="F30" s="13" t="n">
        <v>1075</v>
      </c>
      <c r="G30" s="13" t="n">
        <v>6450</v>
      </c>
      <c r="H30" s="8" t="inlineStr">
        <is>
          <t>Kixx HD CF-4 20W-50 6L</t>
        </is>
      </c>
      <c r="I30" s="8" t="inlineStr">
        <is>
          <t>Daraz</t>
        </is>
      </c>
    </row>
    <row r="31" ht="15" customHeight="1">
      <c r="A31" s="11" t="n">
        <v>27</v>
      </c>
      <c r="B31" s="8" t="inlineStr">
        <is>
          <t>Kixx</t>
        </is>
      </c>
      <c r="C31" s="8" t="inlineStr">
        <is>
          <t>20W-50</t>
        </is>
      </c>
      <c r="D31" s="12" t="n">
        <v>8</v>
      </c>
      <c r="E31" s="8" t="inlineStr">
        <is>
          <t>HDEO</t>
        </is>
      </c>
      <c r="F31" s="13" t="n">
        <v>1225</v>
      </c>
      <c r="G31" s="13" t="n">
        <v>9800</v>
      </c>
      <c r="H31" s="8" t="inlineStr">
        <is>
          <t>KIXX HD API CF-4 / SG SAE 20W-50 (8 Liter)</t>
        </is>
      </c>
      <c r="I31" s="8" t="inlineStr">
        <is>
          <t>Daraz</t>
        </is>
      </c>
    </row>
    <row r="32" ht="15" customHeight="1">
      <c r="A32" s="11" t="n">
        <v>28</v>
      </c>
      <c r="B32" s="8" t="inlineStr">
        <is>
          <t>Kixx</t>
        </is>
      </c>
      <c r="C32" s="8" t="inlineStr">
        <is>
          <t>20W-50</t>
        </is>
      </c>
      <c r="D32" s="12" t="n">
        <v>8</v>
      </c>
      <c r="E32" s="8" t="inlineStr">
        <is>
          <t>HDEO</t>
        </is>
      </c>
      <c r="F32" s="13" t="n">
        <v>1200</v>
      </c>
      <c r="G32" s="13" t="n">
        <v>9600</v>
      </c>
      <c r="H32" s="8" t="inlineStr">
        <is>
          <t>kixx HD CF-4 20W-50 8L</t>
        </is>
      </c>
      <c r="I32" s="8" t="inlineStr">
        <is>
          <t>Daraz</t>
        </is>
      </c>
    </row>
    <row r="33" ht="15" customHeight="1">
      <c r="A33" s="11" t="n">
        <v>29</v>
      </c>
      <c r="B33" s="8" t="inlineStr">
        <is>
          <t>Kixx</t>
        </is>
      </c>
      <c r="C33" s="8" t="inlineStr">
        <is>
          <t>20W-50</t>
        </is>
      </c>
      <c r="D33" s="12" t="n">
        <v>8</v>
      </c>
      <c r="E33" s="8" t="inlineStr">
        <is>
          <t>HDEO</t>
        </is>
      </c>
      <c r="F33" s="13" t="n">
        <v>1200</v>
      </c>
      <c r="G33" s="13" t="n">
        <v>9600</v>
      </c>
      <c r="H33" s="8" t="inlineStr">
        <is>
          <t>kixx HD CF-4 20W-50 8L</t>
        </is>
      </c>
      <c r="I33" s="8" t="inlineStr">
        <is>
          <t>Daraz</t>
        </is>
      </c>
    </row>
    <row r="34" ht="15" customHeight="1">
      <c r="A34" s="11" t="n">
        <v>30</v>
      </c>
      <c r="B34" s="8" t="inlineStr">
        <is>
          <t>Kixx</t>
        </is>
      </c>
      <c r="C34" s="8" t="inlineStr">
        <is>
          <t>20W-50</t>
        </is>
      </c>
      <c r="D34" s="12" t="n">
        <v>8</v>
      </c>
      <c r="E34" s="8" t="inlineStr">
        <is>
          <t>HDEO</t>
        </is>
      </c>
      <c r="F34" s="13" t="n">
        <v>1225</v>
      </c>
      <c r="G34" s="13" t="n">
        <v>9800</v>
      </c>
      <c r="H34" s="8" t="inlineStr">
        <is>
          <t>KIXX HD API CF-4 / SG SAE 20W-50 (8 Liter)</t>
        </is>
      </c>
      <c r="I34" s="8" t="inlineStr">
        <is>
          <t>Daraz</t>
        </is>
      </c>
    </row>
    <row r="35" ht="15" customHeight="1">
      <c r="A35" s="11" t="n">
        <v>31</v>
      </c>
      <c r="B35" s="8" t="inlineStr">
        <is>
          <t>Kixx</t>
        </is>
      </c>
      <c r="C35" s="8" t="inlineStr">
        <is>
          <t>20W-50</t>
        </is>
      </c>
      <c r="D35" s="12" t="n">
        <v>18</v>
      </c>
      <c r="E35" s="8" t="inlineStr">
        <is>
          <t>HDEO</t>
        </is>
      </c>
      <c r="F35" s="13" t="n">
        <v>1266.67</v>
      </c>
      <c r="G35" s="13" t="n">
        <v>22800</v>
      </c>
      <c r="H35" s="8" t="inlineStr">
        <is>
          <t>kixx HD CF-4/SG 20W-50 18L</t>
        </is>
      </c>
      <c r="I35" s="8" t="inlineStr">
        <is>
          <t>Daraz</t>
        </is>
      </c>
    </row>
    <row r="36" ht="15" customHeight="1">
      <c r="A36" s="11" t="n">
        <v>32</v>
      </c>
      <c r="B36" s="8" t="inlineStr">
        <is>
          <t>Kixx</t>
        </is>
      </c>
      <c r="C36" s="8" t="inlineStr">
        <is>
          <t>20W-50</t>
        </is>
      </c>
      <c r="D36" s="12" t="n">
        <v>18</v>
      </c>
      <c r="E36" s="8" t="inlineStr">
        <is>
          <t>HDEO</t>
        </is>
      </c>
      <c r="F36" s="13" t="n">
        <v>1266.67</v>
      </c>
      <c r="G36" s="13" t="n">
        <v>22800</v>
      </c>
      <c r="H36" s="8" t="inlineStr">
        <is>
          <t>kixx HD CF-4/SG 20W-50 18L</t>
        </is>
      </c>
      <c r="I36" s="8" t="inlineStr">
        <is>
          <t>Daraz</t>
        </is>
      </c>
    </row>
    <row r="37" ht="15" customHeight="1">
      <c r="A37" s="11" t="n">
        <v>33</v>
      </c>
      <c r="B37" s="8" t="inlineStr">
        <is>
          <t>Kixx</t>
        </is>
      </c>
      <c r="C37" s="8" t="inlineStr">
        <is>
          <t>20W-50</t>
        </is>
      </c>
      <c r="D37" s="12" t="n">
        <v>18</v>
      </c>
      <c r="E37" s="8" t="inlineStr">
        <is>
          <t>HDEO</t>
        </is>
      </c>
      <c r="F37" s="13" t="n">
        <v>1266.67</v>
      </c>
      <c r="G37" s="13" t="n">
        <v>22800</v>
      </c>
      <c r="H37" s="8" t="inlineStr">
        <is>
          <t>kixx HD CF-4/SG 20W-50 18L</t>
        </is>
      </c>
      <c r="I37" s="8" t="inlineStr">
        <is>
          <t>Daraz</t>
        </is>
      </c>
    </row>
    <row r="38" ht="15" customHeight="1">
      <c r="A38" s="11" t="n">
        <v>34</v>
      </c>
      <c r="B38" s="8" t="inlineStr">
        <is>
          <t>Kixx</t>
        </is>
      </c>
      <c r="C38" s="8" t="inlineStr">
        <is>
          <t>20W-50</t>
        </is>
      </c>
      <c r="D38" s="12" t="n">
        <v>18</v>
      </c>
      <c r="E38" s="8" t="inlineStr">
        <is>
          <t>HDEO</t>
        </is>
      </c>
      <c r="F38" s="13" t="n">
        <v>1227.78</v>
      </c>
      <c r="G38" s="13" t="n">
        <v>22100</v>
      </c>
      <c r="H38" s="8" t="inlineStr">
        <is>
          <t>kixx HD CF-4/SG 20W-50 18L</t>
        </is>
      </c>
      <c r="I38" s="8" t="inlineStr">
        <is>
          <t>Daraz</t>
        </is>
      </c>
    </row>
    <row r="39" ht="15" customHeight="1">
      <c r="A39" s="11" t="n">
        <v>35</v>
      </c>
      <c r="B39" s="8" t="inlineStr">
        <is>
          <t>Kixx</t>
        </is>
      </c>
      <c r="C39" s="8" t="inlineStr">
        <is>
          <t>20W-50</t>
        </is>
      </c>
      <c r="D39" s="12" t="n">
        <v>18</v>
      </c>
      <c r="E39" s="8" t="inlineStr">
        <is>
          <t>HDEO</t>
        </is>
      </c>
      <c r="F39" s="13" t="n">
        <v>1266.67</v>
      </c>
      <c r="G39" s="13" t="n">
        <v>22800</v>
      </c>
      <c r="H39" s="8" t="inlineStr">
        <is>
          <t>kixx HD CF-4/SG 20W-50 18L</t>
        </is>
      </c>
      <c r="I39" s="8" t="inlineStr">
        <is>
          <t>Daraz</t>
        </is>
      </c>
    </row>
    <row r="40" ht="15" customHeight="1">
      <c r="A40" s="11" t="n">
        <v>36</v>
      </c>
      <c r="B40" s="8" t="inlineStr">
        <is>
          <t>Kixx</t>
        </is>
      </c>
      <c r="C40" s="8" t="inlineStr">
        <is>
          <t>20W-50</t>
        </is>
      </c>
      <c r="D40" s="12" t="n">
        <v>18</v>
      </c>
      <c r="E40" s="8" t="inlineStr">
        <is>
          <t>HDEO</t>
        </is>
      </c>
      <c r="F40" s="13" t="n">
        <v>1227.78</v>
      </c>
      <c r="G40" s="13" t="n">
        <v>22100</v>
      </c>
      <c r="H40" s="8" t="inlineStr">
        <is>
          <t>kixx HD CF-4/SG 20W-50 18L</t>
        </is>
      </c>
      <c r="I40" s="8" t="inlineStr">
        <is>
          <t>Daraz</t>
        </is>
      </c>
    </row>
    <row r="41" ht="15" customHeight="1">
      <c r="A41" s="11" t="n">
        <v>37</v>
      </c>
      <c r="B41" s="8" t="inlineStr">
        <is>
          <t>Shell Rimula</t>
        </is>
      </c>
      <c r="C41" s="8" t="inlineStr">
        <is>
          <t>20W-50</t>
        </is>
      </c>
      <c r="D41" s="12" t="n">
        <v>4</v>
      </c>
      <c r="E41" s="8" t="inlineStr">
        <is>
          <t>HDEO</t>
        </is>
      </c>
      <c r="F41" s="13" t="n">
        <v>1375</v>
      </c>
      <c r="G41" s="13" t="n">
        <v>5500</v>
      </c>
      <c r="H41" s="8" t="inlineStr">
        <is>
          <t>Shell Rimula 20W-50 ( 4 Litre)</t>
        </is>
      </c>
      <c r="I41" s="8" t="inlineStr">
        <is>
          <t>Daraz</t>
        </is>
      </c>
    </row>
    <row r="42" ht="15" customHeight="1">
      <c r="A42" s="11" t="n">
        <v>38</v>
      </c>
      <c r="B42" s="8" t="inlineStr">
        <is>
          <t>Shell Rimula</t>
        </is>
      </c>
      <c r="C42" s="8" t="inlineStr">
        <is>
          <t>20W-50</t>
        </is>
      </c>
      <c r="D42" s="12" t="n">
        <v>4</v>
      </c>
      <c r="E42" s="8" t="inlineStr">
        <is>
          <t>HDEO</t>
        </is>
      </c>
      <c r="F42" s="13" t="n">
        <v>1375</v>
      </c>
      <c r="G42" s="13" t="n">
        <v>5500</v>
      </c>
      <c r="H42" s="8" t="inlineStr">
        <is>
          <t>Shell Rimula 20W-50 ( 4 Litre)</t>
        </is>
      </c>
      <c r="I42" s="8" t="inlineStr">
        <is>
          <t>Daraz</t>
        </is>
      </c>
    </row>
    <row r="43" ht="15" customHeight="1">
      <c r="A43" s="11" t="n">
        <v>39</v>
      </c>
      <c r="B43" s="8" t="inlineStr">
        <is>
          <t>Shell Rimula</t>
        </is>
      </c>
      <c r="C43" s="8" t="inlineStr">
        <is>
          <t>20W-50</t>
        </is>
      </c>
      <c r="D43" s="12" t="n">
        <v>4</v>
      </c>
      <c r="E43" s="8" t="inlineStr">
        <is>
          <t>HDEO</t>
        </is>
      </c>
      <c r="F43" s="13" t="n">
        <v>1375</v>
      </c>
      <c r="G43" s="13" t="n">
        <v>5500</v>
      </c>
      <c r="H43" s="8" t="inlineStr">
        <is>
          <t>Shell Rimula 20W-50 ( 4 Litre)</t>
        </is>
      </c>
      <c r="I43" s="8" t="inlineStr">
        <is>
          <t>Daraz</t>
        </is>
      </c>
    </row>
    <row r="44" ht="15" customHeight="1">
      <c r="A44" s="11" t="n">
        <v>40</v>
      </c>
      <c r="B44" s="8" t="inlineStr">
        <is>
          <t>Kixx PAO</t>
        </is>
      </c>
      <c r="C44" s="8" t="inlineStr">
        <is>
          <t>5W-40</t>
        </is>
      </c>
      <c r="D44" s="12" t="n">
        <v>4</v>
      </c>
      <c r="E44" s="8" t="inlineStr">
        <is>
          <t>HDEO</t>
        </is>
      </c>
      <c r="F44" s="13" t="n">
        <v>3249.75</v>
      </c>
      <c r="G44" s="13" t="n">
        <v>12999</v>
      </c>
      <c r="H44" s="8" t="inlineStr">
        <is>
          <t>Kixx PAO 5W-40 Fully Synthetic Engine Oil 4L | Original Car Oil | Best for Honda Toyota Suzuki Petrol &amp; Diesel</t>
        </is>
      </c>
      <c r="I44" s="8" t="inlineStr">
        <is>
          <t>Daraz</t>
        </is>
      </c>
    </row>
    <row r="45" ht="15" customHeight="1">
      <c r="A45" s="11" t="n">
        <v>41</v>
      </c>
      <c r="B45" s="8" t="inlineStr">
        <is>
          <t>Kixx PAO</t>
        </is>
      </c>
      <c r="C45" s="8" t="inlineStr">
        <is>
          <t>5W-40</t>
        </is>
      </c>
      <c r="D45" s="12" t="n">
        <v>4</v>
      </c>
      <c r="E45" s="8" t="inlineStr">
        <is>
          <t>HDEO</t>
        </is>
      </c>
      <c r="F45" s="13" t="n">
        <v>3249.75</v>
      </c>
      <c r="G45" s="13" t="n">
        <v>12999</v>
      </c>
      <c r="H45" s="8" t="inlineStr">
        <is>
          <t>Kixx PAO 5W-40 Fully Synthetic Engine Oil 4L | Original Car Oil | Best for Honda Toyota Suzuki Petrol &amp; Diesel</t>
        </is>
      </c>
      <c r="I45" s="8" t="inlineStr">
        <is>
          <t>Daraz</t>
        </is>
      </c>
    </row>
    <row r="46" ht="15" customHeight="1">
      <c r="A46" s="11" t="n">
        <v>42</v>
      </c>
      <c r="B46" s="8" t="inlineStr">
        <is>
          <t>Kixx PAO</t>
        </is>
      </c>
      <c r="C46" s="8" t="inlineStr">
        <is>
          <t>5W-40</t>
        </is>
      </c>
      <c r="D46" s="12" t="n">
        <v>4</v>
      </c>
      <c r="E46" s="8" t="inlineStr">
        <is>
          <t>HDEO</t>
        </is>
      </c>
      <c r="F46" s="13" t="n">
        <v>3249.75</v>
      </c>
      <c r="G46" s="13" t="n">
        <v>12999</v>
      </c>
      <c r="H46" s="8" t="inlineStr">
        <is>
          <t>Kixx PAO 5W-40 Fully Synthetic Engine Oil 4L | Original Car Oil | Best for Honda Toyota Suzuki Petrol &amp; Diesel</t>
        </is>
      </c>
      <c r="I46" s="8" t="inlineStr">
        <is>
          <t>Daraz</t>
        </is>
      </c>
    </row>
    <row r="47" ht="15" customHeight="1">
      <c r="A47" s="11" t="n">
        <v>43</v>
      </c>
      <c r="B47" s="8" t="inlineStr">
        <is>
          <t>ZIC</t>
        </is>
      </c>
      <c r="C47" s="8" t="inlineStr">
        <is>
          <t>10W-40</t>
        </is>
      </c>
      <c r="D47" s="12" t="n">
        <v>1</v>
      </c>
      <c r="E47" s="8" t="inlineStr">
        <is>
          <t>MCO</t>
        </is>
      </c>
      <c r="F47" s="13" t="n">
        <v>2300</v>
      </c>
      <c r="G47" s="13" t="n">
        <v>2300</v>
      </c>
      <c r="H47" s="8" t="inlineStr">
        <is>
          <t>ZIC M9 (4T) 10W-40 API SM JASO MA2 VHVI TECHNOLOGY FULLY SYNTHETIC ENGINE OIL (Recommendation: 4 Stroke Scooters &amp; Motorcycles) (1 LITER</t>
        </is>
      </c>
      <c r="I47" s="8" t="inlineStr">
        <is>
          <t>Daraz</t>
        </is>
      </c>
    </row>
    <row r="48" ht="15" customHeight="1">
      <c r="A48" s="11" t="n">
        <v>44</v>
      </c>
      <c r="B48" s="8" t="inlineStr">
        <is>
          <t>ZIC</t>
        </is>
      </c>
      <c r="C48" s="8" t="inlineStr">
        <is>
          <t>10W-40</t>
        </is>
      </c>
      <c r="D48" s="12" t="n">
        <v>1</v>
      </c>
      <c r="E48" s="8" t="inlineStr">
        <is>
          <t>MCO</t>
        </is>
      </c>
      <c r="F48" s="13" t="n">
        <v>2300</v>
      </c>
      <c r="G48" s="13" t="n">
        <v>2300</v>
      </c>
      <c r="H48" s="8" t="inlineStr">
        <is>
          <t>ZIC M9 (4T) 10W-40 API SM JASO MA2 VHVI TECHNOLOGY FULLY SYNTHETIC ENGINE OIL (Recommendation: 4 Stroke Scooters &amp; Motorcycles) (1 LITER</t>
        </is>
      </c>
      <c r="I48" s="8" t="inlineStr">
        <is>
          <t>Daraz</t>
        </is>
      </c>
    </row>
    <row r="49" ht="15" customHeight="1">
      <c r="A49" s="11" t="n">
        <v>45</v>
      </c>
      <c r="B49" s="8" t="inlineStr">
        <is>
          <t>ZIC</t>
        </is>
      </c>
      <c r="C49" s="8" t="inlineStr">
        <is>
          <t>10W-40</t>
        </is>
      </c>
      <c r="D49" s="12" t="n">
        <v>1</v>
      </c>
      <c r="E49" s="8" t="inlineStr">
        <is>
          <t>MCO</t>
        </is>
      </c>
      <c r="F49" s="13" t="n">
        <v>2300</v>
      </c>
      <c r="G49" s="13" t="n">
        <v>2300</v>
      </c>
      <c r="H49" s="8" t="inlineStr">
        <is>
          <t>ZIC M9 (4T) 10W-40 API SM JASO MA2 VHVI TECHNOLOGY FULLY SYNTHETIC ENGINE OIL (Recommendation: 4 Stroke Scooters &amp; Motorcycles) (1 LITER</t>
        </is>
      </c>
      <c r="I49" s="8" t="inlineStr">
        <is>
          <t>Daraz</t>
        </is>
      </c>
    </row>
    <row r="50" ht="15" customHeight="1">
      <c r="A50" s="11" t="n">
        <v>46</v>
      </c>
      <c r="B50" s="8" t="inlineStr">
        <is>
          <t>ZIC</t>
        </is>
      </c>
      <c r="C50" s="8" t="inlineStr">
        <is>
          <t>10W-40</t>
        </is>
      </c>
      <c r="D50" s="12" t="n">
        <v>1</v>
      </c>
      <c r="E50" s="8" t="inlineStr">
        <is>
          <t>MCO</t>
        </is>
      </c>
      <c r="F50" s="13" t="n">
        <v>2300</v>
      </c>
      <c r="G50" s="13" t="n">
        <v>2300</v>
      </c>
      <c r="H50" s="8" t="inlineStr">
        <is>
          <t>ZIC M9 (4T) 10W-40 API SM JASO MA2 VHVI TECHNOLOGY FULLY SYNTHETIC ENGINE OIL (Recommendation: 4 Stroke Scooters &amp; Motorcycles) (1 LITER</t>
        </is>
      </c>
      <c r="I50" s="8" t="inlineStr">
        <is>
          <t>Daraz</t>
        </is>
      </c>
    </row>
    <row r="51" ht="15" customHeight="1">
      <c r="A51" s="11" t="n">
        <v>47</v>
      </c>
      <c r="B51" s="8" t="inlineStr">
        <is>
          <t>ZIC</t>
        </is>
      </c>
      <c r="C51" s="8" t="inlineStr">
        <is>
          <t>10W-40</t>
        </is>
      </c>
      <c r="D51" s="12" t="n">
        <v>1</v>
      </c>
      <c r="E51" s="8" t="inlineStr">
        <is>
          <t>MCO</t>
        </is>
      </c>
      <c r="F51" s="13" t="n">
        <v>2300</v>
      </c>
      <c r="G51" s="13" t="n">
        <v>2300</v>
      </c>
      <c r="H51" s="8" t="inlineStr">
        <is>
          <t>ZIC M9 (4T) 10W-40 API SM JASO MA2 VHVI TECHNOLOGY FULLY SYNTHETIC ENGINE OIL (Recommendation: 4 Stroke Scooters &amp; Motorcycles) (1 LITER</t>
        </is>
      </c>
      <c r="I51" s="8" t="inlineStr">
        <is>
          <t>Daraz</t>
        </is>
      </c>
    </row>
    <row r="52" ht="15" customHeight="1">
      <c r="A52" s="11" t="n">
        <v>48</v>
      </c>
      <c r="B52" s="8" t="inlineStr">
        <is>
          <t>ZIC</t>
        </is>
      </c>
      <c r="C52" s="8" t="inlineStr">
        <is>
          <t>10W-40</t>
        </is>
      </c>
      <c r="D52" s="12" t="n">
        <v>1</v>
      </c>
      <c r="E52" s="8" t="inlineStr">
        <is>
          <t>MCO</t>
        </is>
      </c>
      <c r="F52" s="13" t="n">
        <v>2300</v>
      </c>
      <c r="G52" s="13" t="n">
        <v>2300</v>
      </c>
      <c r="H52" s="8" t="inlineStr">
        <is>
          <t>ZIC M9 (4T) 10W-40 API SM JASO MA2 VHVI TECHNOLOGY FULLY SYNTHETIC ENGINE OIL (Recommendation: 4 Stroke Scooters &amp; Motorcycles) (1 LITER</t>
        </is>
      </c>
      <c r="I52" s="8" t="inlineStr">
        <is>
          <t>Daraz</t>
        </is>
      </c>
    </row>
    <row r="53" ht="15" customHeight="1">
      <c r="A53" s="11" t="n">
        <v>49</v>
      </c>
      <c r="B53" s="8" t="inlineStr">
        <is>
          <t>ZIC</t>
        </is>
      </c>
      <c r="C53" s="8" t="inlineStr">
        <is>
          <t>10W-40</t>
        </is>
      </c>
      <c r="D53" s="12" t="n">
        <v>1</v>
      </c>
      <c r="E53" s="8" t="inlineStr">
        <is>
          <t>MCO</t>
        </is>
      </c>
      <c r="F53" s="13" t="n">
        <v>2300</v>
      </c>
      <c r="G53" s="13" t="n">
        <v>2300</v>
      </c>
      <c r="H53" s="8" t="inlineStr">
        <is>
          <t>ZIC M9 (4T) 10W-40 API SM JASO MA2 VHVI TECHNOLOGY FULLY SYNTHETIC ENGINE OIL (Recommendation: 4 Stroke Scooters &amp; Motorcycles) (1 LITER</t>
        </is>
      </c>
      <c r="I53" s="8" t="inlineStr">
        <is>
          <t>Daraz</t>
        </is>
      </c>
    </row>
    <row r="54" ht="15" customHeight="1">
      <c r="A54" s="11" t="n">
        <v>50</v>
      </c>
      <c r="B54" s="8" t="inlineStr">
        <is>
          <t>ZIC</t>
        </is>
      </c>
      <c r="C54" s="8" t="inlineStr">
        <is>
          <t>10W-40</t>
        </is>
      </c>
      <c r="D54" s="12" t="n">
        <v>1</v>
      </c>
      <c r="E54" s="8" t="inlineStr">
        <is>
          <t>MCO</t>
        </is>
      </c>
      <c r="F54" s="13" t="n">
        <v>2300</v>
      </c>
      <c r="G54" s="13" t="n">
        <v>2300</v>
      </c>
      <c r="H54" s="8" t="inlineStr">
        <is>
          <t>ZIC M9 (4T) 10W-40 API SM JASO MA2 VHVI TECHNOLOGY FULLY SYNTHETIC ENGINE OIL (Recommendation: 4 Stroke Scooters &amp; Motorcycles) (1 LITER</t>
        </is>
      </c>
      <c r="I54" s="8" t="inlineStr">
        <is>
          <t>Daraz</t>
        </is>
      </c>
    </row>
    <row r="55" ht="15" customHeight="1">
      <c r="A55" s="11" t="n">
        <v>51</v>
      </c>
      <c r="B55" s="8" t="inlineStr">
        <is>
          <t>ZIC</t>
        </is>
      </c>
      <c r="C55" s="8" t="inlineStr">
        <is>
          <t>10W-40</t>
        </is>
      </c>
      <c r="D55" s="12" t="n">
        <v>1</v>
      </c>
      <c r="E55" s="8" t="inlineStr">
        <is>
          <t>MCO</t>
        </is>
      </c>
      <c r="F55" s="13" t="n">
        <v>2300</v>
      </c>
      <c r="G55" s="13" t="n">
        <v>2300</v>
      </c>
      <c r="H55" s="8" t="inlineStr">
        <is>
          <t>ZIC M9 (4T) 10W-40 API SM JASO MA2 VHVI TECHNOLOGY FULLY SYNTHETIC ENGINE OIL (Recommendation: 4 Stroke Scooters &amp; Motorcycles) (1 LITER</t>
        </is>
      </c>
      <c r="I55" s="8" t="inlineStr">
        <is>
          <t>Daraz</t>
        </is>
      </c>
    </row>
    <row r="56" ht="15" customHeight="1">
      <c r="A56" s="11" t="n">
        <v>52</v>
      </c>
      <c r="B56" s="8" t="inlineStr">
        <is>
          <t>Kixx</t>
        </is>
      </c>
      <c r="C56" s="8" t="inlineStr">
        <is>
          <t>20W-50</t>
        </is>
      </c>
      <c r="D56" s="12" t="n">
        <v>1</v>
      </c>
      <c r="E56" s="8" t="inlineStr">
        <is>
          <t>MCO</t>
        </is>
      </c>
      <c r="F56" s="13" t="n">
        <v>1550</v>
      </c>
      <c r="G56" s="13" t="n">
        <v>1550</v>
      </c>
      <c r="H56" s="8" t="inlineStr">
        <is>
          <t>KIXX MX7 4T MA2 20W50 SEMI SYNTHETIC 1L</t>
        </is>
      </c>
      <c r="I56" s="8" t="inlineStr">
        <is>
          <t>Daraz</t>
        </is>
      </c>
    </row>
    <row r="57" ht="15" customHeight="1">
      <c r="A57" s="11" t="n">
        <v>53</v>
      </c>
      <c r="B57" s="8" t="inlineStr">
        <is>
          <t>Kixx</t>
        </is>
      </c>
      <c r="C57" s="8" t="inlineStr">
        <is>
          <t>20W-50</t>
        </is>
      </c>
      <c r="D57" s="12" t="n">
        <v>1</v>
      </c>
      <c r="E57" s="8" t="inlineStr">
        <is>
          <t>MCO</t>
        </is>
      </c>
      <c r="F57" s="13" t="n">
        <v>1550</v>
      </c>
      <c r="G57" s="13" t="n">
        <v>1550</v>
      </c>
      <c r="H57" s="8" t="inlineStr">
        <is>
          <t>KIXX MX7 4T MA2 20W50 SEMI SYNTHETIC 1L</t>
        </is>
      </c>
      <c r="I57" s="8" t="inlineStr">
        <is>
          <t>Daraz</t>
        </is>
      </c>
    </row>
    <row r="58" ht="15" customHeight="1">
      <c r="A58" s="11" t="n">
        <v>54</v>
      </c>
      <c r="B58" s="8" t="inlineStr">
        <is>
          <t>Kixx</t>
        </is>
      </c>
      <c r="C58" s="8" t="inlineStr">
        <is>
          <t>20W-50</t>
        </is>
      </c>
      <c r="D58" s="12" t="n">
        <v>1</v>
      </c>
      <c r="E58" s="8" t="inlineStr">
        <is>
          <t>MCO</t>
        </is>
      </c>
      <c r="F58" s="13" t="n">
        <v>1550</v>
      </c>
      <c r="G58" s="13" t="n">
        <v>1550</v>
      </c>
      <c r="H58" s="8" t="inlineStr">
        <is>
          <t>KIXX MX7 4T MA2 20W50 SEMI SYNTHETIC 1L</t>
        </is>
      </c>
      <c r="I58" s="8" t="inlineStr">
        <is>
          <t>Daraz</t>
        </is>
      </c>
    </row>
    <row r="59" ht="15" customHeight="1">
      <c r="A59" s="11" t="n">
        <v>55</v>
      </c>
      <c r="B59" s="8" t="inlineStr">
        <is>
          <t>Kixx</t>
        </is>
      </c>
      <c r="C59" s="8" t="inlineStr">
        <is>
          <t>20W-50</t>
        </is>
      </c>
      <c r="D59" s="12" t="n">
        <v>1</v>
      </c>
      <c r="E59" s="8" t="inlineStr">
        <is>
          <t>MCO</t>
        </is>
      </c>
      <c r="F59" s="13" t="n">
        <v>1550</v>
      </c>
      <c r="G59" s="13" t="n">
        <v>1550</v>
      </c>
      <c r="H59" s="8" t="inlineStr">
        <is>
          <t>KIXX MX7 4T MA2 20W50 SEMI SYNTHETIC 1L</t>
        </is>
      </c>
      <c r="I59" s="8" t="inlineStr">
        <is>
          <t>Daraz</t>
        </is>
      </c>
    </row>
    <row r="60" ht="15" customHeight="1">
      <c r="A60" s="11" t="n">
        <v>56</v>
      </c>
      <c r="B60" s="8" t="inlineStr">
        <is>
          <t>Kixx</t>
        </is>
      </c>
      <c r="C60" s="8" t="inlineStr">
        <is>
          <t>20W-50</t>
        </is>
      </c>
      <c r="D60" s="12" t="n">
        <v>1</v>
      </c>
      <c r="E60" s="8" t="inlineStr">
        <is>
          <t>MCO</t>
        </is>
      </c>
      <c r="F60" s="13" t="n">
        <v>1470</v>
      </c>
      <c r="G60" s="13" t="n">
        <v>1470</v>
      </c>
      <c r="H60" s="8" t="inlineStr">
        <is>
          <t>Kixx MX7 4t (20w-50) Jaso MA2, 1Litre Semi Synthetic Genuine Engine Oil, Bike Oil</t>
        </is>
      </c>
      <c r="I60" s="8" t="inlineStr">
        <is>
          <t>Daraz</t>
        </is>
      </c>
    </row>
    <row r="61" ht="15" customHeight="1">
      <c r="A61" s="11" t="n">
        <v>57</v>
      </c>
      <c r="B61" s="8" t="inlineStr">
        <is>
          <t>Kixx</t>
        </is>
      </c>
      <c r="C61" s="8" t="inlineStr">
        <is>
          <t>20W-50</t>
        </is>
      </c>
      <c r="D61" s="12" t="n">
        <v>1</v>
      </c>
      <c r="E61" s="8" t="inlineStr">
        <is>
          <t>MCO</t>
        </is>
      </c>
      <c r="F61" s="13" t="n">
        <v>1550</v>
      </c>
      <c r="G61" s="13" t="n">
        <v>1550</v>
      </c>
      <c r="H61" s="8" t="inlineStr">
        <is>
          <t>KIXX MX7 4T MA2 20W50 SEMI SYNTHETIC 1L</t>
        </is>
      </c>
      <c r="I61" s="8" t="inlineStr">
        <is>
          <t>Daraz</t>
        </is>
      </c>
    </row>
    <row r="62" ht="15" customHeight="1">
      <c r="A62" s="11" t="n">
        <v>58</v>
      </c>
      <c r="B62" s="8" t="inlineStr">
        <is>
          <t>Kixx</t>
        </is>
      </c>
      <c r="C62" s="8" t="inlineStr">
        <is>
          <t>20W-50</t>
        </is>
      </c>
      <c r="D62" s="12" t="n">
        <v>1</v>
      </c>
      <c r="E62" s="8" t="inlineStr">
        <is>
          <t>MCO</t>
        </is>
      </c>
      <c r="F62" s="13" t="n">
        <v>1470</v>
      </c>
      <c r="G62" s="13" t="n">
        <v>1470</v>
      </c>
      <c r="H62" s="8" t="inlineStr">
        <is>
          <t>Kixx MX7 4t (20w-50) Jaso MA2, 1Litre Semi Synthetic Genuine Engine Oil, Bike Oil</t>
        </is>
      </c>
      <c r="I62" s="8" t="inlineStr">
        <is>
          <t>Daraz</t>
        </is>
      </c>
    </row>
    <row r="63" ht="15" customHeight="1">
      <c r="A63" s="11" t="n">
        <v>59</v>
      </c>
      <c r="B63" s="8" t="inlineStr">
        <is>
          <t>Kixx</t>
        </is>
      </c>
      <c r="C63" s="8" t="inlineStr">
        <is>
          <t>20W-50</t>
        </is>
      </c>
      <c r="D63" s="12" t="n">
        <v>1</v>
      </c>
      <c r="E63" s="8" t="inlineStr">
        <is>
          <t>MCO</t>
        </is>
      </c>
      <c r="F63" s="13" t="n">
        <v>1390</v>
      </c>
      <c r="G63" s="13" t="n">
        <v>1390</v>
      </c>
      <c r="H63" s="8" t="inlineStr">
        <is>
          <t>KIXX 20W50 (1 Liter) ULTRA 4T TOP GRADE 125,Scooty, Heavy Bick , Suzki BIKES. Engine Oil</t>
        </is>
      </c>
      <c r="I63" s="8" t="inlineStr">
        <is>
          <t>Daraz</t>
        </is>
      </c>
    </row>
    <row r="64" ht="15" customHeight="1">
      <c r="A64" s="11" t="n">
        <v>60</v>
      </c>
      <c r="B64" s="8" t="inlineStr">
        <is>
          <t>Kixx</t>
        </is>
      </c>
      <c r="C64" s="8" t="inlineStr">
        <is>
          <t>20W-50</t>
        </is>
      </c>
      <c r="D64" s="12" t="n">
        <v>1</v>
      </c>
      <c r="E64" s="8" t="inlineStr">
        <is>
          <t>MCO</t>
        </is>
      </c>
      <c r="F64" s="13" t="n">
        <v>1550</v>
      </c>
      <c r="G64" s="13" t="n">
        <v>1550</v>
      </c>
      <c r="H64" s="8" t="inlineStr">
        <is>
          <t>KIXX MX7 4T MA2 20W50 SEMI SYNTHETIC 1L</t>
        </is>
      </c>
      <c r="I64" s="8" t="inlineStr">
        <is>
          <t>Daraz</t>
        </is>
      </c>
    </row>
    <row r="65" ht="15" customHeight="1">
      <c r="A65" s="11" t="n">
        <v>61</v>
      </c>
      <c r="B65" s="8" t="inlineStr">
        <is>
          <t>Kixx</t>
        </is>
      </c>
      <c r="C65" s="8" t="inlineStr">
        <is>
          <t>20W-50</t>
        </is>
      </c>
      <c r="D65" s="12" t="n">
        <v>1</v>
      </c>
      <c r="E65" s="8" t="inlineStr">
        <is>
          <t>MCO</t>
        </is>
      </c>
      <c r="F65" s="13" t="n">
        <v>1470</v>
      </c>
      <c r="G65" s="13" t="n">
        <v>1470</v>
      </c>
      <c r="H65" s="8" t="inlineStr">
        <is>
          <t>Kixx MX7 4t (20w-50) Jaso MA2, 1Litre Semi Synthetic Genuine Engine Oil, Bike Oil</t>
        </is>
      </c>
      <c r="I65" s="8" t="inlineStr">
        <is>
          <t>Daraz</t>
        </is>
      </c>
    </row>
    <row r="66" ht="15" customHeight="1">
      <c r="A66" s="11" t="n">
        <v>62</v>
      </c>
      <c r="B66" s="8" t="inlineStr">
        <is>
          <t>Kixx</t>
        </is>
      </c>
      <c r="C66" s="8" t="inlineStr">
        <is>
          <t>20W-50</t>
        </is>
      </c>
      <c r="D66" s="12" t="n">
        <v>1</v>
      </c>
      <c r="E66" s="8" t="inlineStr">
        <is>
          <t>MCO</t>
        </is>
      </c>
      <c r="F66" s="13" t="n">
        <v>1390</v>
      </c>
      <c r="G66" s="13" t="n">
        <v>1390</v>
      </c>
      <c r="H66" s="8" t="inlineStr">
        <is>
          <t>KIXX 20W50 (1 Liter) ULTRA 4T TOP GRADE 125,Scooty, Heavy Bick , Suzki BIKES. Engine Oil</t>
        </is>
      </c>
      <c r="I66" s="8" t="inlineStr">
        <is>
          <t>Daraz</t>
        </is>
      </c>
    </row>
    <row r="67" ht="15" customHeight="1">
      <c r="A67" s="14" t="n">
        <v>63</v>
      </c>
      <c r="B67" s="15" t="inlineStr">
        <is>
          <t>PSO</t>
        </is>
      </c>
      <c r="C67" s="15" t="inlineStr">
        <is>
          <t>20W-50</t>
        </is>
      </c>
      <c r="D67" s="16" t="n">
        <v>0.7</v>
      </c>
      <c r="E67" s="15" t="inlineStr">
        <is>
          <t>MCO</t>
        </is>
      </c>
      <c r="F67" s="17" t="n">
        <v>957.14</v>
      </c>
      <c r="G67" s="17" t="n">
        <v>670</v>
      </c>
      <c r="H67" s="15" t="inlineStr">
        <is>
          <t>PSO Blaze 4T 20W-50 Motorcycle Engine Oil 0.7L (Genuine, API SG)</t>
        </is>
      </c>
      <c r="I67" s="15" t="inlineStr">
        <is>
          <t>Daraz</t>
        </is>
      </c>
    </row>
    <row r="68" ht="15" customHeight="1">
      <c r="A68" s="11" t="n">
        <v>64</v>
      </c>
      <c r="B68" s="8" t="inlineStr">
        <is>
          <t>Caltex Havoline</t>
        </is>
      </c>
      <c r="C68" s="8" t="inlineStr">
        <is>
          <t>0W-20</t>
        </is>
      </c>
      <c r="D68" s="12" t="n">
        <v>4</v>
      </c>
      <c r="E68" s="8" t="inlineStr">
        <is>
          <t>PCMO</t>
        </is>
      </c>
      <c r="F68" s="13" t="n">
        <v>3412.25</v>
      </c>
      <c r="G68" s="13" t="n">
        <v>13649</v>
      </c>
      <c r="H68" s="8" t="inlineStr">
        <is>
          <t>Caltex Havoline 0w20 4ltr Fully Synthetic Engine Oil for car</t>
        </is>
      </c>
      <c r="I68" s="8" t="inlineStr">
        <is>
          <t>Daraz</t>
        </is>
      </c>
    </row>
    <row r="69" ht="15" customHeight="1">
      <c r="A69" s="11" t="n">
        <v>65</v>
      </c>
      <c r="B69" s="8" t="inlineStr">
        <is>
          <t>Caltex Havoline</t>
        </is>
      </c>
      <c r="C69" s="8" t="inlineStr">
        <is>
          <t>0W-20</t>
        </is>
      </c>
      <c r="D69" s="12" t="n">
        <v>4</v>
      </c>
      <c r="E69" s="8" t="inlineStr">
        <is>
          <t>PCMO</t>
        </is>
      </c>
      <c r="F69" s="13" t="n">
        <v>3412.25</v>
      </c>
      <c r="G69" s="13" t="n">
        <v>13649</v>
      </c>
      <c r="H69" s="8" t="inlineStr">
        <is>
          <t>Caltex Havoline 0w20 4ltr Fully Synthetic Engine Oil for car</t>
        </is>
      </c>
      <c r="I69" s="8" t="inlineStr">
        <is>
          <t>Daraz</t>
        </is>
      </c>
    </row>
    <row r="70" ht="15" customHeight="1">
      <c r="A70" s="11" t="n">
        <v>66</v>
      </c>
      <c r="B70" s="8" t="inlineStr">
        <is>
          <t>Caltex Havoline</t>
        </is>
      </c>
      <c r="C70" s="8" t="inlineStr">
        <is>
          <t>0W-20</t>
        </is>
      </c>
      <c r="D70" s="12" t="n">
        <v>4</v>
      </c>
      <c r="E70" s="8" t="inlineStr">
        <is>
          <t>PCMO</t>
        </is>
      </c>
      <c r="F70" s="13" t="n">
        <v>3412.25</v>
      </c>
      <c r="G70" s="13" t="n">
        <v>13649</v>
      </c>
      <c r="H70" s="8" t="inlineStr">
        <is>
          <t>Caltex Havoline 0w20 4ltr Fully Synthetic Engine Oil for car</t>
        </is>
      </c>
      <c r="I70" s="8" t="inlineStr">
        <is>
          <t>Daraz</t>
        </is>
      </c>
    </row>
    <row r="71" ht="15" customHeight="1">
      <c r="A71" s="11" t="n">
        <v>67</v>
      </c>
      <c r="B71" s="8" t="inlineStr">
        <is>
          <t>Caltex Havoline</t>
        </is>
      </c>
      <c r="C71" s="8" t="inlineStr">
        <is>
          <t>0W-20</t>
        </is>
      </c>
      <c r="D71" s="12" t="n">
        <v>4</v>
      </c>
      <c r="E71" s="8" t="inlineStr">
        <is>
          <t>PCMO</t>
        </is>
      </c>
      <c r="F71" s="13" t="n">
        <v>3412.25</v>
      </c>
      <c r="G71" s="13" t="n">
        <v>13649</v>
      </c>
      <c r="H71" s="8" t="inlineStr">
        <is>
          <t>Caltex Havoline 0w20 4ltr Fully Synthetic Engine Oil for car</t>
        </is>
      </c>
      <c r="I71" s="8" t="inlineStr">
        <is>
          <t>Daraz</t>
        </is>
      </c>
    </row>
    <row r="72" ht="15" customHeight="1">
      <c r="A72" s="11" t="n">
        <v>68</v>
      </c>
      <c r="B72" s="8" t="inlineStr">
        <is>
          <t>Caltex Havoline</t>
        </is>
      </c>
      <c r="C72" s="8" t="inlineStr">
        <is>
          <t>0W-20</t>
        </is>
      </c>
      <c r="D72" s="12" t="n">
        <v>4</v>
      </c>
      <c r="E72" s="8" t="inlineStr">
        <is>
          <t>PCMO</t>
        </is>
      </c>
      <c r="F72" s="13" t="n">
        <v>3412.25</v>
      </c>
      <c r="G72" s="13" t="n">
        <v>13649</v>
      </c>
      <c r="H72" s="8" t="inlineStr">
        <is>
          <t>Caltex Havoline 0w20 4ltr Fully Synthetic Engine Oil for car</t>
        </is>
      </c>
      <c r="I72" s="8" t="inlineStr">
        <is>
          <t>Daraz</t>
        </is>
      </c>
    </row>
    <row r="73" ht="15" customHeight="1">
      <c r="A73" s="11" t="n">
        <v>69</v>
      </c>
      <c r="B73" s="8" t="inlineStr">
        <is>
          <t>Kixx G1</t>
        </is>
      </c>
      <c r="C73" s="8" t="inlineStr">
        <is>
          <t>0W-20</t>
        </is>
      </c>
      <c r="D73" s="12" t="n">
        <v>4</v>
      </c>
      <c r="E73" s="8" t="inlineStr">
        <is>
          <t>PCMO</t>
        </is>
      </c>
      <c r="F73" s="13" t="n">
        <v>4012.5</v>
      </c>
      <c r="G73" s="13" t="n">
        <v>16050</v>
      </c>
      <c r="H73" s="8" t="inlineStr">
        <is>
          <t>KIXX G1 0w20 4LTR Fully Synthetic Engine Oil for car</t>
        </is>
      </c>
      <c r="I73" s="8" t="inlineStr">
        <is>
          <t>Daraz</t>
        </is>
      </c>
    </row>
    <row r="74" ht="15" customHeight="1">
      <c r="A74" s="14" t="n">
        <v>70</v>
      </c>
      <c r="B74" s="15" t="inlineStr">
        <is>
          <t>PSO Carient</t>
        </is>
      </c>
      <c r="C74" s="15" t="inlineStr">
        <is>
          <t>0W-20</t>
        </is>
      </c>
      <c r="D74" s="16" t="n">
        <v>4</v>
      </c>
      <c r="E74" s="15" t="inlineStr">
        <is>
          <t>PCMO</t>
        </is>
      </c>
      <c r="F74" s="17" t="n">
        <v>3150</v>
      </c>
      <c r="G74" s="17" t="n">
        <v>12600</v>
      </c>
      <c r="H74" s="15" t="inlineStr">
        <is>
          <t>PSO Carient S-Pro 0W-20 4LTR Fully Synthetic Motor Oil for Car</t>
        </is>
      </c>
      <c r="I74" s="15" t="inlineStr">
        <is>
          <t>Daraz</t>
        </is>
      </c>
    </row>
    <row r="75" ht="15" customHeight="1">
      <c r="A75" s="14" t="n">
        <v>71</v>
      </c>
      <c r="B75" s="15" t="inlineStr">
        <is>
          <t>PSO Carient</t>
        </is>
      </c>
      <c r="C75" s="15" t="inlineStr">
        <is>
          <t>0W-20</t>
        </is>
      </c>
      <c r="D75" s="16" t="n">
        <v>4</v>
      </c>
      <c r="E75" s="15" t="inlineStr">
        <is>
          <t>PCMO</t>
        </is>
      </c>
      <c r="F75" s="17" t="n">
        <v>3150</v>
      </c>
      <c r="G75" s="17" t="n">
        <v>12600</v>
      </c>
      <c r="H75" s="15" t="inlineStr">
        <is>
          <t>PSO Carient S-Pro 0W-20 4LTR Fully Synthetic Motor Oil for Car</t>
        </is>
      </c>
      <c r="I75" s="15" t="inlineStr">
        <is>
          <t>Daraz</t>
        </is>
      </c>
    </row>
    <row r="76" ht="15" customHeight="1">
      <c r="A76" s="11" t="n">
        <v>72</v>
      </c>
      <c r="B76" s="8" t="inlineStr">
        <is>
          <t>Total Quartz 9000</t>
        </is>
      </c>
      <c r="C76" s="8" t="inlineStr">
        <is>
          <t>0W-20</t>
        </is>
      </c>
      <c r="D76" s="12" t="n">
        <v>4</v>
      </c>
      <c r="E76" s="8" t="inlineStr">
        <is>
          <t>PCMO</t>
        </is>
      </c>
      <c r="F76" s="13" t="n">
        <v>3374.75</v>
      </c>
      <c r="G76" s="13" t="n">
        <v>13499</v>
      </c>
      <c r="H76" s="8" t="inlineStr">
        <is>
          <t>Total Quartz 9000 0w20 4ltr fully synthetic engine oil for car</t>
        </is>
      </c>
      <c r="I76" s="8" t="inlineStr">
        <is>
          <t>Daraz</t>
        </is>
      </c>
    </row>
    <row r="77" ht="15" customHeight="1">
      <c r="A77" s="11" t="n">
        <v>73</v>
      </c>
      <c r="B77" s="8" t="inlineStr">
        <is>
          <t>Total Quartz 9000</t>
        </is>
      </c>
      <c r="C77" s="8" t="inlineStr">
        <is>
          <t>0W-20</t>
        </is>
      </c>
      <c r="D77" s="12" t="n">
        <v>4</v>
      </c>
      <c r="E77" s="8" t="inlineStr">
        <is>
          <t>PCMO</t>
        </is>
      </c>
      <c r="F77" s="13" t="n">
        <v>3374.75</v>
      </c>
      <c r="G77" s="13" t="n">
        <v>13499</v>
      </c>
      <c r="H77" s="8" t="inlineStr">
        <is>
          <t>Total Quartz 9000 0w20 4ltr fully synthetic engine oil for car</t>
        </is>
      </c>
      <c r="I77" s="8" t="inlineStr">
        <is>
          <t>Daraz</t>
        </is>
      </c>
    </row>
    <row r="78" ht="15" customHeight="1">
      <c r="A78" s="11" t="n">
        <v>74</v>
      </c>
      <c r="B78" s="8" t="inlineStr">
        <is>
          <t>Caltex Havoline</t>
        </is>
      </c>
      <c r="C78" s="8" t="inlineStr">
        <is>
          <t>10W-30</t>
        </is>
      </c>
      <c r="D78" s="12" t="n">
        <v>3</v>
      </c>
      <c r="E78" s="8" t="inlineStr">
        <is>
          <t>PCMO</t>
        </is>
      </c>
      <c r="F78" s="13" t="n">
        <v>1500</v>
      </c>
      <c r="G78" s="13" t="n">
        <v>4500</v>
      </c>
      <c r="H78" s="8" t="inlineStr">
        <is>
          <t>Caltex Havoline 10W-30 Engine Oil 3L – Premium Protection for Petrol Engines | High Performance Motor Oil</t>
        </is>
      </c>
      <c r="I78" s="8" t="inlineStr">
        <is>
          <t>Daraz</t>
        </is>
      </c>
    </row>
    <row r="79" ht="15" customHeight="1">
      <c r="A79" s="11" t="n">
        <v>75</v>
      </c>
      <c r="B79" s="8" t="inlineStr">
        <is>
          <t>Caltex Havoline</t>
        </is>
      </c>
      <c r="C79" s="8" t="inlineStr">
        <is>
          <t>10W-30</t>
        </is>
      </c>
      <c r="D79" s="12" t="n">
        <v>3</v>
      </c>
      <c r="E79" s="8" t="inlineStr">
        <is>
          <t>PCMO</t>
        </is>
      </c>
      <c r="F79" s="13" t="n">
        <v>1500</v>
      </c>
      <c r="G79" s="13" t="n">
        <v>4500</v>
      </c>
      <c r="H79" s="8" t="inlineStr">
        <is>
          <t>Caltex Havoline 10W-30 Engine Oil 3L – Premium Protection for Petrol Engines | High Performance Motor Oil</t>
        </is>
      </c>
      <c r="I79" s="8" t="inlineStr">
        <is>
          <t>Daraz</t>
        </is>
      </c>
    </row>
    <row r="80" ht="15" customHeight="1">
      <c r="A80" s="14" t="n">
        <v>76</v>
      </c>
      <c r="B80" s="15" t="inlineStr">
        <is>
          <t>PSO Carient Ultra</t>
        </is>
      </c>
      <c r="C80" s="15" t="inlineStr">
        <is>
          <t>10W-30</t>
        </is>
      </c>
      <c r="D80" s="16" t="n">
        <v>3</v>
      </c>
      <c r="E80" s="15" t="inlineStr">
        <is>
          <t>PCMO</t>
        </is>
      </c>
      <c r="F80" s="17" t="n">
        <v>1023.33</v>
      </c>
      <c r="G80" s="17" t="n">
        <v>3070</v>
      </c>
      <c r="H80" s="15" t="inlineStr">
        <is>
          <t>CARIENT ULTRA 10W30 3L Premium quality synthetic formula</t>
        </is>
      </c>
      <c r="I80" s="15" t="inlineStr">
        <is>
          <t>Daraz</t>
        </is>
      </c>
    </row>
    <row r="81" ht="15" customHeight="1">
      <c r="A81" s="11" t="n">
        <v>77</v>
      </c>
      <c r="B81" s="8" t="inlineStr">
        <is>
          <t>Kixx</t>
        </is>
      </c>
      <c r="C81" s="8" t="inlineStr">
        <is>
          <t>10W-40</t>
        </is>
      </c>
      <c r="D81" s="12" t="n">
        <v>1</v>
      </c>
      <c r="E81" s="8" t="inlineStr">
        <is>
          <t>PCMO</t>
        </is>
      </c>
      <c r="F81" s="13" t="n">
        <v>1660</v>
      </c>
      <c r="G81" s="13" t="n">
        <v>1660</v>
      </c>
      <c r="H81" s="8" t="inlineStr">
        <is>
          <t>KIXX GX7 Oli Mobil Semi Synthetic 10W-40 API SN Plus 1 L</t>
        </is>
      </c>
      <c r="I81" s="8" t="inlineStr">
        <is>
          <t>Daraz</t>
        </is>
      </c>
    </row>
    <row r="82" ht="15" customHeight="1">
      <c r="A82" s="11" t="n">
        <v>78</v>
      </c>
      <c r="B82" s="8" t="inlineStr">
        <is>
          <t>Kixx</t>
        </is>
      </c>
      <c r="C82" s="8" t="inlineStr">
        <is>
          <t>10W-40</t>
        </is>
      </c>
      <c r="D82" s="12" t="n">
        <v>1</v>
      </c>
      <c r="E82" s="8" t="inlineStr">
        <is>
          <t>PCMO</t>
        </is>
      </c>
      <c r="F82" s="13" t="n">
        <v>1660</v>
      </c>
      <c r="G82" s="13" t="n">
        <v>1660</v>
      </c>
      <c r="H82" s="8" t="inlineStr">
        <is>
          <t>KIXX GX7 Oli Mobil Semi Synthetic 10W-40 API SN Plus 1 L</t>
        </is>
      </c>
      <c r="I82" s="8" t="inlineStr">
        <is>
          <t>Daraz</t>
        </is>
      </c>
    </row>
    <row r="83" ht="15" customHeight="1">
      <c r="A83" s="11" t="n">
        <v>79</v>
      </c>
      <c r="B83" s="8" t="inlineStr">
        <is>
          <t>Kixx</t>
        </is>
      </c>
      <c r="C83" s="8" t="inlineStr">
        <is>
          <t>10W-40</t>
        </is>
      </c>
      <c r="D83" s="12" t="n">
        <v>1</v>
      </c>
      <c r="E83" s="8" t="inlineStr">
        <is>
          <t>PCMO</t>
        </is>
      </c>
      <c r="F83" s="13" t="n">
        <v>1660</v>
      </c>
      <c r="G83" s="13" t="n">
        <v>1660</v>
      </c>
      <c r="H83" s="8" t="inlineStr">
        <is>
          <t>KIXX GX7 Oli Mobil Semi Synthetic 10W-40 API SN Plus 1 L</t>
        </is>
      </c>
      <c r="I83" s="8" t="inlineStr">
        <is>
          <t>Daraz</t>
        </is>
      </c>
    </row>
    <row r="84" ht="15" customHeight="1">
      <c r="A84" s="11" t="n">
        <v>80</v>
      </c>
      <c r="B84" s="8" t="inlineStr">
        <is>
          <t>Kixx</t>
        </is>
      </c>
      <c r="C84" s="8" t="inlineStr">
        <is>
          <t>10W-40</t>
        </is>
      </c>
      <c r="D84" s="12" t="n">
        <v>1</v>
      </c>
      <c r="E84" s="8" t="inlineStr">
        <is>
          <t>PCMO</t>
        </is>
      </c>
      <c r="F84" s="13" t="n">
        <v>1660</v>
      </c>
      <c r="G84" s="13" t="n">
        <v>1660</v>
      </c>
      <c r="H84" s="8" t="inlineStr">
        <is>
          <t>KIXX GX7 Oli Mobil Semi Synthetic 10W-40 API SN Plus 1 L</t>
        </is>
      </c>
      <c r="I84" s="8" t="inlineStr">
        <is>
          <t>Daraz</t>
        </is>
      </c>
    </row>
    <row r="85" ht="15" customHeight="1">
      <c r="A85" s="11" t="n">
        <v>81</v>
      </c>
      <c r="B85" s="8" t="inlineStr">
        <is>
          <t>Kixx</t>
        </is>
      </c>
      <c r="C85" s="8" t="inlineStr">
        <is>
          <t>10W-40</t>
        </is>
      </c>
      <c r="D85" s="12" t="n">
        <v>1</v>
      </c>
      <c r="E85" s="8" t="inlineStr">
        <is>
          <t>PCMO</t>
        </is>
      </c>
      <c r="F85" s="13" t="n">
        <v>1660</v>
      </c>
      <c r="G85" s="13" t="n">
        <v>1660</v>
      </c>
      <c r="H85" s="8" t="inlineStr">
        <is>
          <t>KIXX GX7 Oli Mobil Semi Synthetic 10W-40 API SN Plus 1 L</t>
        </is>
      </c>
      <c r="I85" s="8" t="inlineStr">
        <is>
          <t>Daraz</t>
        </is>
      </c>
    </row>
    <row r="86" ht="15" customHeight="1">
      <c r="A86" s="11" t="n">
        <v>82</v>
      </c>
      <c r="B86" s="8" t="inlineStr">
        <is>
          <t>Kixx</t>
        </is>
      </c>
      <c r="C86" s="8" t="inlineStr">
        <is>
          <t>10W-40</t>
        </is>
      </c>
      <c r="D86" s="12" t="n">
        <v>1</v>
      </c>
      <c r="E86" s="8" t="inlineStr">
        <is>
          <t>PCMO</t>
        </is>
      </c>
      <c r="F86" s="13" t="n">
        <v>1660</v>
      </c>
      <c r="G86" s="13" t="n">
        <v>1660</v>
      </c>
      <c r="H86" s="8" t="inlineStr">
        <is>
          <t>KIXX GX7 Oli Mobil Semi Synthetic 10W-40 API SN Plus 1 L</t>
        </is>
      </c>
      <c r="I86" s="8" t="inlineStr">
        <is>
          <t>Daraz</t>
        </is>
      </c>
    </row>
    <row r="87" ht="15" customHeight="1">
      <c r="A87" s="11" t="n">
        <v>83</v>
      </c>
      <c r="B87" s="8" t="inlineStr">
        <is>
          <t>Kixx</t>
        </is>
      </c>
      <c r="C87" s="8" t="inlineStr">
        <is>
          <t>10W-40</t>
        </is>
      </c>
      <c r="D87" s="12" t="n">
        <v>3</v>
      </c>
      <c r="E87" s="8" t="inlineStr">
        <is>
          <t>PCMO</t>
        </is>
      </c>
      <c r="F87" s="13" t="n">
        <v>1800</v>
      </c>
      <c r="G87" s="13" t="n">
        <v>5400</v>
      </c>
      <c r="H87" s="8" t="inlineStr">
        <is>
          <t>kixx 10w40 3ltr</t>
        </is>
      </c>
      <c r="I87" s="8" t="inlineStr">
        <is>
          <t>Daraz</t>
        </is>
      </c>
    </row>
    <row r="88" ht="15" customHeight="1">
      <c r="A88" s="11" t="n">
        <v>84</v>
      </c>
      <c r="B88" s="8" t="inlineStr">
        <is>
          <t>Kixx</t>
        </is>
      </c>
      <c r="C88" s="8" t="inlineStr">
        <is>
          <t>10W-40</t>
        </is>
      </c>
      <c r="D88" s="12" t="n">
        <v>3</v>
      </c>
      <c r="E88" s="8" t="inlineStr">
        <is>
          <t>PCMO</t>
        </is>
      </c>
      <c r="F88" s="13" t="n">
        <v>1500</v>
      </c>
      <c r="G88" s="13" t="n">
        <v>4500</v>
      </c>
      <c r="H88" s="8" t="inlineStr">
        <is>
          <t>KIXX GX7 Semi Synthetic 10W-40 API SN Plus 3 Liter Engine Oil NEW BOTTLE Best For Wagnor.Alto.Mehran.</t>
        </is>
      </c>
      <c r="I88" s="8" t="inlineStr">
        <is>
          <t>Daraz</t>
        </is>
      </c>
    </row>
    <row r="89" ht="15" customHeight="1">
      <c r="A89" s="11" t="n">
        <v>85</v>
      </c>
      <c r="B89" s="8" t="inlineStr">
        <is>
          <t>Kixx</t>
        </is>
      </c>
      <c r="C89" s="8" t="inlineStr">
        <is>
          <t>10W-40</t>
        </is>
      </c>
      <c r="D89" s="12" t="n">
        <v>3</v>
      </c>
      <c r="E89" s="8" t="inlineStr">
        <is>
          <t>PCMO</t>
        </is>
      </c>
      <c r="F89" s="13" t="n">
        <v>1800</v>
      </c>
      <c r="G89" s="13" t="n">
        <v>5400</v>
      </c>
      <c r="H89" s="8" t="inlineStr">
        <is>
          <t>kixx 10w40 3ltr</t>
        </is>
      </c>
      <c r="I89" s="8" t="inlineStr">
        <is>
          <t>Daraz</t>
        </is>
      </c>
    </row>
    <row r="90" ht="15" customHeight="1">
      <c r="A90" s="11" t="n">
        <v>86</v>
      </c>
      <c r="B90" s="8" t="inlineStr">
        <is>
          <t>Kixx</t>
        </is>
      </c>
      <c r="C90" s="8" t="inlineStr">
        <is>
          <t>10W-40</t>
        </is>
      </c>
      <c r="D90" s="12" t="n">
        <v>4</v>
      </c>
      <c r="E90" s="8" t="inlineStr">
        <is>
          <t>PCMO</t>
        </is>
      </c>
      <c r="F90" s="13" t="n">
        <v>1500</v>
      </c>
      <c r="G90" s="13" t="n">
        <v>6000</v>
      </c>
      <c r="H90" s="8" t="inlineStr">
        <is>
          <t>kixx G 10w40 4L</t>
        </is>
      </c>
      <c r="I90" s="8" t="inlineStr">
        <is>
          <t>Daraz</t>
        </is>
      </c>
    </row>
    <row r="91" ht="15" customHeight="1">
      <c r="A91" s="11" t="n">
        <v>87</v>
      </c>
      <c r="B91" s="8" t="inlineStr">
        <is>
          <t>Kixx</t>
        </is>
      </c>
      <c r="C91" s="8" t="inlineStr">
        <is>
          <t>10W-40</t>
        </is>
      </c>
      <c r="D91" s="12" t="n">
        <v>4</v>
      </c>
      <c r="E91" s="8" t="inlineStr">
        <is>
          <t>PCMO</t>
        </is>
      </c>
      <c r="F91" s="13" t="n">
        <v>1999.75</v>
      </c>
      <c r="G91" s="13" t="n">
        <v>7999</v>
      </c>
      <c r="H91" s="8" t="inlineStr">
        <is>
          <t>KIXX G 10W-40 ( 4 LITRE)</t>
        </is>
      </c>
      <c r="I91" s="8" t="inlineStr">
        <is>
          <t>Daraz</t>
        </is>
      </c>
    </row>
    <row r="92" ht="15" customHeight="1">
      <c r="A92" s="11" t="n">
        <v>88</v>
      </c>
      <c r="B92" s="8" t="inlineStr">
        <is>
          <t>Kixx</t>
        </is>
      </c>
      <c r="C92" s="8" t="inlineStr">
        <is>
          <t>10W-40</t>
        </is>
      </c>
      <c r="D92" s="12" t="n">
        <v>4</v>
      </c>
      <c r="E92" s="8" t="inlineStr">
        <is>
          <t>PCMO</t>
        </is>
      </c>
      <c r="F92" s="13" t="n">
        <v>1500</v>
      </c>
      <c r="G92" s="13" t="n">
        <v>6000</v>
      </c>
      <c r="H92" s="8" t="inlineStr">
        <is>
          <t>kixx G 10w40 4L</t>
        </is>
      </c>
      <c r="I92" s="8" t="inlineStr">
        <is>
          <t>Daraz</t>
        </is>
      </c>
    </row>
    <row r="93" ht="15" customHeight="1">
      <c r="A93" s="11" t="n">
        <v>89</v>
      </c>
      <c r="B93" s="8" t="inlineStr">
        <is>
          <t>Kixx</t>
        </is>
      </c>
      <c r="C93" s="8" t="inlineStr">
        <is>
          <t>10W-40</t>
        </is>
      </c>
      <c r="D93" s="12" t="n">
        <v>4</v>
      </c>
      <c r="E93" s="8" t="inlineStr">
        <is>
          <t>PCMO</t>
        </is>
      </c>
      <c r="F93" s="13" t="n">
        <v>1999.75</v>
      </c>
      <c r="G93" s="13" t="n">
        <v>7999</v>
      </c>
      <c r="H93" s="8" t="inlineStr">
        <is>
          <t>KIXX G 10W-40 ( 4 LITRE)</t>
        </is>
      </c>
      <c r="I93" s="8" t="inlineStr">
        <is>
          <t>Daraz</t>
        </is>
      </c>
    </row>
    <row r="94" ht="15" customHeight="1">
      <c r="A94" s="11" t="n">
        <v>90</v>
      </c>
      <c r="B94" s="8" t="inlineStr">
        <is>
          <t>Kixx G1</t>
        </is>
      </c>
      <c r="C94" s="8" t="inlineStr">
        <is>
          <t>10W-40</t>
        </is>
      </c>
      <c r="D94" s="12" t="n">
        <v>3</v>
      </c>
      <c r="E94" s="8" t="inlineStr">
        <is>
          <t>PCMO</t>
        </is>
      </c>
      <c r="F94" s="13" t="n">
        <v>993.33</v>
      </c>
      <c r="G94" s="13" t="n">
        <v>2980</v>
      </c>
      <c r="H94" s="8" t="inlineStr">
        <is>
          <t>KIXX G1 10W-40 3L GENUINE ENGINE OIL</t>
        </is>
      </c>
      <c r="I94" s="8" t="inlineStr">
        <is>
          <t>Daraz</t>
        </is>
      </c>
    </row>
    <row r="95" ht="15" customHeight="1">
      <c r="A95" s="11" t="n">
        <v>91</v>
      </c>
      <c r="B95" s="8" t="inlineStr">
        <is>
          <t>Kixx G1</t>
        </is>
      </c>
      <c r="C95" s="8" t="inlineStr">
        <is>
          <t>10W-40</t>
        </is>
      </c>
      <c r="D95" s="12" t="n">
        <v>3</v>
      </c>
      <c r="E95" s="8" t="inlineStr">
        <is>
          <t>PCMO</t>
        </is>
      </c>
      <c r="F95" s="13" t="n">
        <v>1060</v>
      </c>
      <c r="G95" s="13" t="n">
        <v>3180</v>
      </c>
      <c r="H95" s="8" t="inlineStr">
        <is>
          <t>KIXX G1 10W-40 3L GENUINE ENGINE OIL</t>
        </is>
      </c>
      <c r="I95" s="8" t="inlineStr">
        <is>
          <t>Daraz</t>
        </is>
      </c>
    </row>
    <row r="96" ht="15" customHeight="1">
      <c r="A96" s="11" t="n">
        <v>92</v>
      </c>
      <c r="B96" s="8" t="inlineStr">
        <is>
          <t>Kixx G1</t>
        </is>
      </c>
      <c r="C96" s="8" t="inlineStr">
        <is>
          <t>10W-40</t>
        </is>
      </c>
      <c r="D96" s="12" t="n">
        <v>3</v>
      </c>
      <c r="E96" s="8" t="inlineStr">
        <is>
          <t>PCMO</t>
        </is>
      </c>
      <c r="F96" s="13" t="n">
        <v>1056.67</v>
      </c>
      <c r="G96" s="13" t="n">
        <v>3170</v>
      </c>
      <c r="H96" s="8" t="inlineStr">
        <is>
          <t>KIXX G1 10W-40 3L GENUINE ENGINE OIL</t>
        </is>
      </c>
      <c r="I96" s="8" t="inlineStr">
        <is>
          <t>Daraz</t>
        </is>
      </c>
    </row>
    <row r="97" ht="15" customHeight="1">
      <c r="A97" s="11" t="n">
        <v>93</v>
      </c>
      <c r="B97" s="8" t="inlineStr">
        <is>
          <t>Kixx G1</t>
        </is>
      </c>
      <c r="C97" s="8" t="inlineStr">
        <is>
          <t>10W-40</t>
        </is>
      </c>
      <c r="D97" s="12" t="n">
        <v>3</v>
      </c>
      <c r="E97" s="8" t="inlineStr">
        <is>
          <t>PCMO</t>
        </is>
      </c>
      <c r="F97" s="13" t="n">
        <v>993.33</v>
      </c>
      <c r="G97" s="13" t="n">
        <v>2980</v>
      </c>
      <c r="H97" s="8" t="inlineStr">
        <is>
          <t>KIXX G1 10W-40 3L GENUINE ENGINE OIL</t>
        </is>
      </c>
      <c r="I97" s="8" t="inlineStr">
        <is>
          <t>Daraz</t>
        </is>
      </c>
    </row>
    <row r="98" ht="15" customHeight="1">
      <c r="A98" s="11" t="n">
        <v>94</v>
      </c>
      <c r="B98" s="8" t="inlineStr">
        <is>
          <t>Kixx G1</t>
        </is>
      </c>
      <c r="C98" s="8" t="inlineStr">
        <is>
          <t>10W-40</t>
        </is>
      </c>
      <c r="D98" s="12" t="n">
        <v>3</v>
      </c>
      <c r="E98" s="8" t="inlineStr">
        <is>
          <t>PCMO</t>
        </is>
      </c>
      <c r="F98" s="13" t="n">
        <v>1060</v>
      </c>
      <c r="G98" s="13" t="n">
        <v>3180</v>
      </c>
      <c r="H98" s="8" t="inlineStr">
        <is>
          <t>KIXX G1 10W-40 3L GENUINE ENGINE OIL</t>
        </is>
      </c>
      <c r="I98" s="8" t="inlineStr">
        <is>
          <t>Daraz</t>
        </is>
      </c>
    </row>
    <row r="99" ht="15" customHeight="1">
      <c r="A99" s="11" t="n">
        <v>95</v>
      </c>
      <c r="B99" s="8" t="inlineStr">
        <is>
          <t>Kixx G1</t>
        </is>
      </c>
      <c r="C99" s="8" t="inlineStr">
        <is>
          <t>10W-40</t>
        </is>
      </c>
      <c r="D99" s="12" t="n">
        <v>3</v>
      </c>
      <c r="E99" s="8" t="inlineStr">
        <is>
          <t>PCMO</t>
        </is>
      </c>
      <c r="F99" s="13" t="n">
        <v>1056.67</v>
      </c>
      <c r="G99" s="13" t="n">
        <v>3170</v>
      </c>
      <c r="H99" s="8" t="inlineStr">
        <is>
          <t>KIXX G1 10W-40 3L GENUINE ENGINE OIL</t>
        </is>
      </c>
      <c r="I99" s="8" t="inlineStr">
        <is>
          <t>Daraz</t>
        </is>
      </c>
    </row>
    <row r="100" ht="15" customHeight="1">
      <c r="A100" s="11" t="n">
        <v>96</v>
      </c>
      <c r="B100" s="8" t="inlineStr">
        <is>
          <t>Kixx G1</t>
        </is>
      </c>
      <c r="C100" s="8" t="inlineStr">
        <is>
          <t>10W-40</t>
        </is>
      </c>
      <c r="D100" s="12" t="n">
        <v>3</v>
      </c>
      <c r="E100" s="8" t="inlineStr">
        <is>
          <t>PCMO</t>
        </is>
      </c>
      <c r="F100" s="13" t="n">
        <v>993.33</v>
      </c>
      <c r="G100" s="13" t="n">
        <v>2980</v>
      </c>
      <c r="H100" s="8" t="inlineStr">
        <is>
          <t>KIXX G1 10W-40 3L GENUINE ENGINE OIL</t>
        </is>
      </c>
      <c r="I100" s="8" t="inlineStr">
        <is>
          <t>Daraz</t>
        </is>
      </c>
    </row>
    <row r="101" ht="15" customHeight="1">
      <c r="A101" s="11" t="n">
        <v>97</v>
      </c>
      <c r="B101" s="8" t="inlineStr">
        <is>
          <t>Kixx G1</t>
        </is>
      </c>
      <c r="C101" s="8" t="inlineStr">
        <is>
          <t>10W-40</t>
        </is>
      </c>
      <c r="D101" s="12" t="n">
        <v>4</v>
      </c>
      <c r="E101" s="8" t="inlineStr">
        <is>
          <t>PCMO</t>
        </is>
      </c>
      <c r="F101" s="13" t="n">
        <v>937.5</v>
      </c>
      <c r="G101" s="13" t="n">
        <v>3750</v>
      </c>
      <c r="H101" s="8" t="inlineStr">
        <is>
          <t>kixx g1 10w40 4l</t>
        </is>
      </c>
      <c r="I101" s="8" t="inlineStr">
        <is>
          <t>Daraz</t>
        </is>
      </c>
    </row>
    <row r="102" ht="15" customHeight="1">
      <c r="A102" s="11" t="n">
        <v>98</v>
      </c>
      <c r="B102" s="8" t="inlineStr">
        <is>
          <t>Kixx G1</t>
        </is>
      </c>
      <c r="C102" s="8" t="inlineStr">
        <is>
          <t>10W-40</t>
        </is>
      </c>
      <c r="D102" s="12" t="n">
        <v>4</v>
      </c>
      <c r="E102" s="8" t="inlineStr">
        <is>
          <t>PCMO</t>
        </is>
      </c>
      <c r="F102" s="13" t="n">
        <v>937.5</v>
      </c>
      <c r="G102" s="13" t="n">
        <v>3750</v>
      </c>
      <c r="H102" s="8" t="inlineStr">
        <is>
          <t>kixx g1 10w40 4l</t>
        </is>
      </c>
      <c r="I102" s="8" t="inlineStr">
        <is>
          <t>Daraz</t>
        </is>
      </c>
    </row>
    <row r="103" ht="15" customHeight="1">
      <c r="A103" s="11" t="n">
        <v>99</v>
      </c>
      <c r="B103" s="8" t="inlineStr">
        <is>
          <t>Kixx G1</t>
        </is>
      </c>
      <c r="C103" s="8" t="inlineStr">
        <is>
          <t>10W-40</t>
        </is>
      </c>
      <c r="D103" s="12" t="n">
        <v>4</v>
      </c>
      <c r="E103" s="8" t="inlineStr">
        <is>
          <t>PCMO</t>
        </is>
      </c>
      <c r="F103" s="13" t="n">
        <v>1050</v>
      </c>
      <c r="G103" s="13" t="n">
        <v>4200</v>
      </c>
      <c r="H103" s="8" t="inlineStr">
        <is>
          <t>kixx g1 10w40 4Liter engine oil</t>
        </is>
      </c>
      <c r="I103" s="8" t="inlineStr">
        <is>
          <t>Daraz</t>
        </is>
      </c>
    </row>
    <row r="104" ht="15" customHeight="1">
      <c r="A104" s="11" t="n">
        <v>100</v>
      </c>
      <c r="B104" s="8" t="inlineStr">
        <is>
          <t>Kixx G1</t>
        </is>
      </c>
      <c r="C104" s="8" t="inlineStr">
        <is>
          <t>10W-40</t>
        </is>
      </c>
      <c r="D104" s="12" t="n">
        <v>4</v>
      </c>
      <c r="E104" s="8" t="inlineStr">
        <is>
          <t>PCMO</t>
        </is>
      </c>
      <c r="F104" s="13" t="n">
        <v>937.5</v>
      </c>
      <c r="G104" s="13" t="n">
        <v>3750</v>
      </c>
      <c r="H104" s="8" t="inlineStr">
        <is>
          <t>kixx g1 10w40 4l</t>
        </is>
      </c>
      <c r="I104" s="8" t="inlineStr">
        <is>
          <t>Daraz</t>
        </is>
      </c>
    </row>
    <row r="105" ht="15" customHeight="1">
      <c r="A105" s="11" t="n">
        <v>101</v>
      </c>
      <c r="B105" s="8" t="inlineStr">
        <is>
          <t>Kixx G1</t>
        </is>
      </c>
      <c r="C105" s="8" t="inlineStr">
        <is>
          <t>10W-40</t>
        </is>
      </c>
      <c r="D105" s="12" t="n">
        <v>4</v>
      </c>
      <c r="E105" s="8" t="inlineStr">
        <is>
          <t>PCMO</t>
        </is>
      </c>
      <c r="F105" s="13" t="n">
        <v>1050</v>
      </c>
      <c r="G105" s="13" t="n">
        <v>4200</v>
      </c>
      <c r="H105" s="8" t="inlineStr">
        <is>
          <t>kixx g1 10w40 4Liter engine oil</t>
        </is>
      </c>
      <c r="I105" s="8" t="inlineStr">
        <is>
          <t>Daraz</t>
        </is>
      </c>
    </row>
    <row r="106" ht="15" customHeight="1">
      <c r="A106" s="11" t="n">
        <v>102</v>
      </c>
      <c r="B106" s="8" t="inlineStr">
        <is>
          <t>Kixx G1</t>
        </is>
      </c>
      <c r="C106" s="8" t="inlineStr">
        <is>
          <t>10W-40</t>
        </is>
      </c>
      <c r="D106" s="12" t="n">
        <v>4</v>
      </c>
      <c r="E106" s="8" t="inlineStr">
        <is>
          <t>PCMO</t>
        </is>
      </c>
      <c r="F106" s="13" t="n">
        <v>937.5</v>
      </c>
      <c r="G106" s="13" t="n">
        <v>3750</v>
      </c>
      <c r="H106" s="8" t="inlineStr">
        <is>
          <t>kixx g1 10w40 4l</t>
        </is>
      </c>
      <c r="I106" s="8" t="inlineStr">
        <is>
          <t>Daraz</t>
        </is>
      </c>
    </row>
    <row r="107" ht="15" customHeight="1">
      <c r="A107" s="11" t="n">
        <v>103</v>
      </c>
      <c r="B107" s="8" t="inlineStr">
        <is>
          <t>Kixx G1</t>
        </is>
      </c>
      <c r="C107" s="8" t="inlineStr">
        <is>
          <t>10W-40</t>
        </is>
      </c>
      <c r="D107" s="12" t="n">
        <v>4</v>
      </c>
      <c r="E107" s="8" t="inlineStr">
        <is>
          <t>PCMO</t>
        </is>
      </c>
      <c r="F107" s="13" t="n">
        <v>937.5</v>
      </c>
      <c r="G107" s="13" t="n">
        <v>3750</v>
      </c>
      <c r="H107" s="8" t="inlineStr">
        <is>
          <t>kixx g1 10w40 4l</t>
        </is>
      </c>
      <c r="I107" s="8" t="inlineStr">
        <is>
          <t>Daraz</t>
        </is>
      </c>
    </row>
    <row r="108" ht="15" customHeight="1">
      <c r="A108" s="11" t="n">
        <v>104</v>
      </c>
      <c r="B108" s="8" t="inlineStr">
        <is>
          <t>Kixx G1</t>
        </is>
      </c>
      <c r="C108" s="8" t="inlineStr">
        <is>
          <t>10W-40</t>
        </is>
      </c>
      <c r="D108" s="12" t="n">
        <v>4</v>
      </c>
      <c r="E108" s="8" t="inlineStr">
        <is>
          <t>PCMO</t>
        </is>
      </c>
      <c r="F108" s="13" t="n">
        <v>1050</v>
      </c>
      <c r="G108" s="13" t="n">
        <v>4200</v>
      </c>
      <c r="H108" s="8" t="inlineStr">
        <is>
          <t>kixx g1 10w40 4Liter engine oil</t>
        </is>
      </c>
      <c r="I108" s="8" t="inlineStr">
        <is>
          <t>Daraz</t>
        </is>
      </c>
    </row>
    <row r="109" ht="15" customHeight="1">
      <c r="A109" s="11" t="n">
        <v>105</v>
      </c>
      <c r="B109" s="8" t="inlineStr">
        <is>
          <t>Shell</t>
        </is>
      </c>
      <c r="C109" s="8" t="inlineStr">
        <is>
          <t>10W-40</t>
        </is>
      </c>
      <c r="D109" s="12" t="n">
        <v>3</v>
      </c>
      <c r="E109" s="8" t="inlineStr">
        <is>
          <t>PCMO</t>
        </is>
      </c>
      <c r="F109" s="13" t="n">
        <v>908.96</v>
      </c>
      <c r="G109" s="13" t="n">
        <v>2726.88</v>
      </c>
      <c r="H109" s="8" t="inlineStr">
        <is>
          <t>Shell Helix Hx6 10w40 3L For Gasoline Engine</t>
        </is>
      </c>
      <c r="I109" s="8" t="inlineStr">
        <is>
          <t>Daraz</t>
        </is>
      </c>
    </row>
    <row r="110" ht="15" customHeight="1">
      <c r="A110" s="11" t="n">
        <v>106</v>
      </c>
      <c r="B110" s="8" t="inlineStr">
        <is>
          <t>Shell</t>
        </is>
      </c>
      <c r="C110" s="8" t="inlineStr">
        <is>
          <t>10W-40</t>
        </is>
      </c>
      <c r="D110" s="12" t="n">
        <v>3</v>
      </c>
      <c r="E110" s="8" t="inlineStr">
        <is>
          <t>PCMO</t>
        </is>
      </c>
      <c r="F110" s="13" t="n">
        <v>2099.67</v>
      </c>
      <c r="G110" s="13" t="n">
        <v>6299</v>
      </c>
      <c r="H110" s="8" t="inlineStr">
        <is>
          <t>Shell HX6 Engine Oil 10W-40 - 3 Litre Shell Helix 3L Motor Oil.</t>
        </is>
      </c>
      <c r="I110" s="8" t="inlineStr">
        <is>
          <t>Daraz</t>
        </is>
      </c>
    </row>
    <row r="111" ht="15" customHeight="1">
      <c r="A111" s="11" t="n">
        <v>107</v>
      </c>
      <c r="B111" s="8" t="inlineStr">
        <is>
          <t>Shell</t>
        </is>
      </c>
      <c r="C111" s="8" t="inlineStr">
        <is>
          <t>10W-40</t>
        </is>
      </c>
      <c r="D111" s="12" t="n">
        <v>3</v>
      </c>
      <c r="E111" s="8" t="inlineStr">
        <is>
          <t>PCMO</t>
        </is>
      </c>
      <c r="F111" s="13" t="n">
        <v>1133.33</v>
      </c>
      <c r="G111" s="13" t="n">
        <v>3400</v>
      </c>
      <c r="H111" s="8" t="inlineStr">
        <is>
          <t>Shell Helix Hx6 10w40 3litre Car synthetic engine oil</t>
        </is>
      </c>
      <c r="I111" s="8" t="inlineStr">
        <is>
          <t>Daraz</t>
        </is>
      </c>
    </row>
    <row r="112" ht="15" customHeight="1">
      <c r="A112" s="11" t="n">
        <v>108</v>
      </c>
      <c r="B112" s="8" t="inlineStr">
        <is>
          <t>Shell</t>
        </is>
      </c>
      <c r="C112" s="8" t="inlineStr">
        <is>
          <t>10W-40</t>
        </is>
      </c>
      <c r="D112" s="12" t="n">
        <v>3</v>
      </c>
      <c r="E112" s="8" t="inlineStr">
        <is>
          <t>PCMO</t>
        </is>
      </c>
      <c r="F112" s="13" t="n">
        <v>1133.33</v>
      </c>
      <c r="G112" s="13" t="n">
        <v>3400</v>
      </c>
      <c r="H112" s="8" t="inlineStr">
        <is>
          <t>Shell Helix Hx6 10w40 3litre Car synthetic engine oil</t>
        </is>
      </c>
      <c r="I112" s="8" t="inlineStr">
        <is>
          <t>Daraz</t>
        </is>
      </c>
    </row>
    <row r="113" ht="15" customHeight="1">
      <c r="A113" s="11" t="n">
        <v>109</v>
      </c>
      <c r="B113" s="8" t="inlineStr">
        <is>
          <t>Total</t>
        </is>
      </c>
      <c r="C113" s="8" t="inlineStr">
        <is>
          <t>10W-40</t>
        </is>
      </c>
      <c r="D113" s="12" t="n">
        <v>3</v>
      </c>
      <c r="E113" s="8" t="inlineStr">
        <is>
          <t>PCMO</t>
        </is>
      </c>
      <c r="F113" s="13" t="n">
        <v>1166.67</v>
      </c>
      <c r="G113" s="13" t="n">
        <v>3500</v>
      </c>
      <c r="H113" s="8" t="inlineStr">
        <is>
          <t>QUARTZ 5000 SN 10W40 3L TOTAL PARCO</t>
        </is>
      </c>
      <c r="I113" s="8" t="inlineStr">
        <is>
          <t>Daraz</t>
        </is>
      </c>
    </row>
    <row r="114" ht="15" customHeight="1">
      <c r="A114" s="11" t="n">
        <v>110</v>
      </c>
      <c r="B114" s="8" t="inlineStr">
        <is>
          <t>Total</t>
        </is>
      </c>
      <c r="C114" s="8" t="inlineStr">
        <is>
          <t>10W-40</t>
        </is>
      </c>
      <c r="D114" s="12" t="n">
        <v>3</v>
      </c>
      <c r="E114" s="8" t="inlineStr">
        <is>
          <t>PCMO</t>
        </is>
      </c>
      <c r="F114" s="13" t="n">
        <v>1166.67</v>
      </c>
      <c r="G114" s="13" t="n">
        <v>3500</v>
      </c>
      <c r="H114" s="8" t="inlineStr">
        <is>
          <t>QUARTZ 5000 SN 10W40 3L TOTAL PARCO</t>
        </is>
      </c>
      <c r="I114" s="8" t="inlineStr">
        <is>
          <t>Daraz</t>
        </is>
      </c>
    </row>
    <row r="115" ht="15" customHeight="1">
      <c r="A115" s="11" t="n">
        <v>111</v>
      </c>
      <c r="B115" s="8" t="inlineStr">
        <is>
          <t>Total</t>
        </is>
      </c>
      <c r="C115" s="8" t="inlineStr">
        <is>
          <t>10W-40</t>
        </is>
      </c>
      <c r="D115" s="12" t="n">
        <v>4</v>
      </c>
      <c r="E115" s="8" t="inlineStr">
        <is>
          <t>PCMO</t>
        </is>
      </c>
      <c r="F115" s="13" t="n">
        <v>922.5</v>
      </c>
      <c r="G115" s="13" t="n">
        <v>3690</v>
      </c>
      <c r="H115" s="8" t="inlineStr">
        <is>
          <t>TOTAL 5000 10W40 4L OIL</t>
        </is>
      </c>
      <c r="I115" s="8" t="inlineStr">
        <is>
          <t>Daraz</t>
        </is>
      </c>
    </row>
    <row r="116" ht="15" customHeight="1">
      <c r="A116" s="11" t="n">
        <v>112</v>
      </c>
      <c r="B116" s="8" t="inlineStr">
        <is>
          <t>Total</t>
        </is>
      </c>
      <c r="C116" s="8" t="inlineStr">
        <is>
          <t>10W-40</t>
        </is>
      </c>
      <c r="D116" s="12" t="n">
        <v>4</v>
      </c>
      <c r="E116" s="8" t="inlineStr">
        <is>
          <t>PCMO</t>
        </is>
      </c>
      <c r="F116" s="13" t="n">
        <v>922.5</v>
      </c>
      <c r="G116" s="13" t="n">
        <v>3690</v>
      </c>
      <c r="H116" s="8" t="inlineStr">
        <is>
          <t>TOTAL 5000 10W40 4L OIL</t>
        </is>
      </c>
      <c r="I116" s="8" t="inlineStr">
        <is>
          <t>Daraz</t>
        </is>
      </c>
    </row>
    <row r="117" ht="15" customHeight="1">
      <c r="A117" s="11" t="n">
        <v>113</v>
      </c>
      <c r="B117" s="8" t="inlineStr">
        <is>
          <t>Total Quartz 5000</t>
        </is>
      </c>
      <c r="C117" s="8" t="inlineStr">
        <is>
          <t>10W-40</t>
        </is>
      </c>
      <c r="D117" s="12" t="n">
        <v>3</v>
      </c>
      <c r="E117" s="8" t="inlineStr">
        <is>
          <t>PCMO</t>
        </is>
      </c>
      <c r="F117" s="13" t="n">
        <v>1093.33</v>
      </c>
      <c r="G117" s="13" t="n">
        <v>3280</v>
      </c>
      <c r="H117" s="8" t="inlineStr">
        <is>
          <t>Total Quartz 5000 10w40 3L</t>
        </is>
      </c>
      <c r="I117" s="8" t="inlineStr">
        <is>
          <t>Daraz</t>
        </is>
      </c>
    </row>
    <row r="118" ht="15" customHeight="1">
      <c r="A118" s="11" t="n">
        <v>114</v>
      </c>
      <c r="B118" s="8" t="inlineStr">
        <is>
          <t>ZIC</t>
        </is>
      </c>
      <c r="C118" s="8" t="inlineStr">
        <is>
          <t>10W-40</t>
        </is>
      </c>
      <c r="D118" s="12" t="n">
        <v>4</v>
      </c>
      <c r="E118" s="8" t="inlineStr">
        <is>
          <t>PCMO</t>
        </is>
      </c>
      <c r="F118" s="13" t="n">
        <v>1170</v>
      </c>
      <c r="G118" s="13" t="n">
        <v>4680</v>
      </c>
      <c r="H118" s="8" t="inlineStr">
        <is>
          <t>ZIC X6000 10w40 4L SYNTHETIC OIL</t>
        </is>
      </c>
      <c r="I118" s="8" t="inlineStr">
        <is>
          <t>Daraz</t>
        </is>
      </c>
    </row>
    <row r="119" ht="15" customHeight="1">
      <c r="A119" s="11" t="n">
        <v>115</v>
      </c>
      <c r="B119" s="8" t="inlineStr">
        <is>
          <t>ZIC</t>
        </is>
      </c>
      <c r="C119" s="8" t="inlineStr">
        <is>
          <t>10W-40</t>
        </is>
      </c>
      <c r="D119" s="12" t="n">
        <v>4</v>
      </c>
      <c r="E119" s="8" t="inlineStr">
        <is>
          <t>PCMO</t>
        </is>
      </c>
      <c r="F119" s="13" t="n">
        <v>1170</v>
      </c>
      <c r="G119" s="13" t="n">
        <v>4680</v>
      </c>
      <c r="H119" s="8" t="inlineStr">
        <is>
          <t>ZIC X6000 10w40 4L SYNTHETIC OIL</t>
        </is>
      </c>
      <c r="I119" s="8" t="inlineStr">
        <is>
          <t>Daraz</t>
        </is>
      </c>
    </row>
    <row r="120" ht="15" customHeight="1">
      <c r="A120" s="11" t="n">
        <v>116</v>
      </c>
      <c r="B120" s="8" t="inlineStr">
        <is>
          <t>ZIC</t>
        </is>
      </c>
      <c r="C120" s="8" t="inlineStr">
        <is>
          <t>10W-40</t>
        </is>
      </c>
      <c r="D120" s="12" t="n">
        <v>4</v>
      </c>
      <c r="E120" s="8" t="inlineStr">
        <is>
          <t>PCMO</t>
        </is>
      </c>
      <c r="F120" s="13" t="n">
        <v>1170</v>
      </c>
      <c r="G120" s="13" t="n">
        <v>4680</v>
      </c>
      <c r="H120" s="8" t="inlineStr">
        <is>
          <t>ZIC X6000 10w40 4L SYNTHETIC OIL</t>
        </is>
      </c>
      <c r="I120" s="8" t="inlineStr">
        <is>
          <t>Daraz</t>
        </is>
      </c>
    </row>
    <row r="121" ht="15" customHeight="1">
      <c r="A121" s="11" t="n">
        <v>117</v>
      </c>
      <c r="B121" s="8" t="inlineStr">
        <is>
          <t>ZIC</t>
        </is>
      </c>
      <c r="C121" s="8" t="inlineStr">
        <is>
          <t>10W-40</t>
        </is>
      </c>
      <c r="D121" s="12" t="n">
        <v>4</v>
      </c>
      <c r="E121" s="8" t="inlineStr">
        <is>
          <t>PCMO</t>
        </is>
      </c>
      <c r="F121" s="13" t="n">
        <v>1170</v>
      </c>
      <c r="G121" s="13" t="n">
        <v>4680</v>
      </c>
      <c r="H121" s="8" t="inlineStr">
        <is>
          <t>ZIC X6000 10w40 4L SYNTHETIC OIL</t>
        </is>
      </c>
      <c r="I121" s="8" t="inlineStr">
        <is>
          <t>Daraz</t>
        </is>
      </c>
    </row>
    <row r="122" ht="15" customHeight="1">
      <c r="A122" s="11" t="n">
        <v>118</v>
      </c>
      <c r="B122" s="8" t="inlineStr">
        <is>
          <t>ZIC</t>
        </is>
      </c>
      <c r="C122" s="8" t="inlineStr">
        <is>
          <t>10W-40</t>
        </is>
      </c>
      <c r="D122" s="12" t="n">
        <v>4</v>
      </c>
      <c r="E122" s="8" t="inlineStr">
        <is>
          <t>PCMO</t>
        </is>
      </c>
      <c r="F122" s="13" t="n">
        <v>1170</v>
      </c>
      <c r="G122" s="13" t="n">
        <v>4680</v>
      </c>
      <c r="H122" s="8" t="inlineStr">
        <is>
          <t>ZIC X6000 10w40 4L SYNTHETIC OIL</t>
        </is>
      </c>
      <c r="I122" s="8" t="inlineStr">
        <is>
          <t>Daraz</t>
        </is>
      </c>
    </row>
    <row r="123" ht="15" customHeight="1">
      <c r="A123" s="11" t="n">
        <v>119</v>
      </c>
      <c r="B123" s="8" t="inlineStr">
        <is>
          <t>ZIC X7</t>
        </is>
      </c>
      <c r="C123" s="8" t="inlineStr">
        <is>
          <t>10W-40</t>
        </is>
      </c>
      <c r="D123" s="12" t="n">
        <v>3</v>
      </c>
      <c r="E123" s="8" t="inlineStr">
        <is>
          <t>PCMO</t>
        </is>
      </c>
      <c r="F123" s="13" t="n">
        <v>1583.33</v>
      </c>
      <c r="G123" s="13" t="n">
        <v>4750</v>
      </c>
      <c r="H123" s="8" t="inlineStr">
        <is>
          <t>ZIC X7 10W-40 (VHVI TECH) 3 Liter .Synthetic Formula Engine Oil,API
SP Grade</t>
        </is>
      </c>
      <c r="I123" s="8" t="inlineStr">
        <is>
          <t>Daraz</t>
        </is>
      </c>
    </row>
    <row r="124" ht="15" customHeight="1">
      <c r="A124" s="11" t="n">
        <v>120</v>
      </c>
      <c r="B124" s="8" t="inlineStr">
        <is>
          <t>ZIC X7</t>
        </is>
      </c>
      <c r="C124" s="8" t="inlineStr">
        <is>
          <t>10W-40</t>
        </is>
      </c>
      <c r="D124" s="12" t="n">
        <v>3</v>
      </c>
      <c r="E124" s="8" t="inlineStr">
        <is>
          <t>PCMO</t>
        </is>
      </c>
      <c r="F124" s="13" t="n">
        <v>1583.33</v>
      </c>
      <c r="G124" s="13" t="n">
        <v>4750</v>
      </c>
      <c r="H124" s="8" t="inlineStr">
        <is>
          <t>ZIC X7 10W-40 (VHVI TECH) 3 Liter .Synthetic Formula Engine Oil,API
SP Grade</t>
        </is>
      </c>
      <c r="I124" s="8" t="inlineStr">
        <is>
          <t>Daraz</t>
        </is>
      </c>
    </row>
    <row r="125" ht="15" customHeight="1">
      <c r="A125" s="11" t="n">
        <v>121</v>
      </c>
      <c r="B125" s="8" t="inlineStr">
        <is>
          <t>ZIC X7</t>
        </is>
      </c>
      <c r="C125" s="8" t="inlineStr">
        <is>
          <t>10W-40</t>
        </is>
      </c>
      <c r="D125" s="12" t="n">
        <v>3</v>
      </c>
      <c r="E125" s="8" t="inlineStr">
        <is>
          <t>PCMO</t>
        </is>
      </c>
      <c r="F125" s="13" t="n">
        <v>1083.33</v>
      </c>
      <c r="G125" s="13" t="n">
        <v>3250</v>
      </c>
      <c r="H125" s="8" t="inlineStr">
        <is>
          <t>ZIC X7 FE 10W-40 Fully Synthetic 3L</t>
        </is>
      </c>
      <c r="I125" s="8" t="inlineStr">
        <is>
          <t>Daraz</t>
        </is>
      </c>
    </row>
    <row r="126" ht="15" customHeight="1">
      <c r="A126" s="11" t="n">
        <v>122</v>
      </c>
      <c r="B126" s="8" t="inlineStr">
        <is>
          <t>ZIC X7</t>
        </is>
      </c>
      <c r="C126" s="8" t="inlineStr">
        <is>
          <t>10W-40</t>
        </is>
      </c>
      <c r="D126" s="12" t="n">
        <v>3</v>
      </c>
      <c r="E126" s="8" t="inlineStr">
        <is>
          <t>PCMO</t>
        </is>
      </c>
      <c r="F126" s="13" t="n">
        <v>1833.33</v>
      </c>
      <c r="G126" s="13" t="n">
        <v>5500</v>
      </c>
      <c r="H126" s="8" t="inlineStr">
        <is>
          <t>ZIC X7 10W-40 SP - VHVI TECH - 3L</t>
        </is>
      </c>
      <c r="I126" s="8" t="inlineStr">
        <is>
          <t>Daraz</t>
        </is>
      </c>
    </row>
    <row r="127" ht="15" customHeight="1">
      <c r="A127" s="11" t="n">
        <v>123</v>
      </c>
      <c r="B127" s="8" t="inlineStr">
        <is>
          <t>ZIC X7</t>
        </is>
      </c>
      <c r="C127" s="8" t="inlineStr">
        <is>
          <t>10W-40</t>
        </is>
      </c>
      <c r="D127" s="12" t="n">
        <v>3</v>
      </c>
      <c r="E127" s="8" t="inlineStr">
        <is>
          <t>PCMO</t>
        </is>
      </c>
      <c r="F127" s="13" t="n">
        <v>1331.67</v>
      </c>
      <c r="G127" s="13" t="n">
        <v>3995</v>
      </c>
      <c r="H127" s="8" t="inlineStr">
        <is>
          <t>ZIC X7 10W-40 A SN - 3 Litre |
Engine Oil</t>
        </is>
      </c>
      <c r="I127" s="8" t="inlineStr">
        <is>
          <t>Daraz</t>
        </is>
      </c>
    </row>
    <row r="128" ht="15" customHeight="1">
      <c r="A128" s="11" t="n">
        <v>124</v>
      </c>
      <c r="B128" s="8" t="inlineStr">
        <is>
          <t>ZIC X7</t>
        </is>
      </c>
      <c r="C128" s="8" t="inlineStr">
        <is>
          <t>10W-40</t>
        </is>
      </c>
      <c r="D128" s="12" t="n">
        <v>3</v>
      </c>
      <c r="E128" s="8" t="inlineStr">
        <is>
          <t>PCMO</t>
        </is>
      </c>
      <c r="F128" s="13" t="n">
        <v>2333.33</v>
      </c>
      <c r="G128" s="13" t="n">
        <v>7000</v>
      </c>
      <c r="H128" s="8" t="inlineStr">
        <is>
          <t>Engine Oil ZIC x7 10w-40 3L  Engine Oil Fully Synthetic  Price 5100/=</t>
        </is>
      </c>
      <c r="I128" s="8" t="inlineStr">
        <is>
          <t>Daraz</t>
        </is>
      </c>
    </row>
    <row r="129" ht="15" customHeight="1">
      <c r="A129" s="11" t="n">
        <v>125</v>
      </c>
      <c r="B129" s="8" t="inlineStr">
        <is>
          <t>ZIC X7</t>
        </is>
      </c>
      <c r="C129" s="8" t="inlineStr">
        <is>
          <t>10W-40</t>
        </is>
      </c>
      <c r="D129" s="12" t="n">
        <v>3</v>
      </c>
      <c r="E129" s="8" t="inlineStr">
        <is>
          <t>PCMO</t>
        </is>
      </c>
      <c r="F129" s="13" t="n">
        <v>2082</v>
      </c>
      <c r="G129" s="13" t="n">
        <v>6246</v>
      </c>
      <c r="H129" s="8" t="inlineStr">
        <is>
          <t>ZIC X7 3 Liter 10W-40 Fully Synthetic Engine Oil</t>
        </is>
      </c>
      <c r="I129" s="8" t="inlineStr">
        <is>
          <t>Daraz</t>
        </is>
      </c>
    </row>
    <row r="130" ht="15" customHeight="1">
      <c r="A130" s="11" t="n">
        <v>126</v>
      </c>
      <c r="B130" s="8" t="inlineStr">
        <is>
          <t>ZIC X7</t>
        </is>
      </c>
      <c r="C130" s="8" t="inlineStr">
        <is>
          <t>10W-40</t>
        </is>
      </c>
      <c r="D130" s="12" t="n">
        <v>3</v>
      </c>
      <c r="E130" s="8" t="inlineStr">
        <is>
          <t>PCMO</t>
        </is>
      </c>
      <c r="F130" s="13" t="n">
        <v>1583.33</v>
      </c>
      <c r="G130" s="13" t="n">
        <v>4750</v>
      </c>
      <c r="H130" s="8" t="inlineStr">
        <is>
          <t>ZIC X7 10W-40 (VHVI TECH) 3 Liter .Synthetic Formula Engine Oil,API
SP Grade</t>
        </is>
      </c>
      <c r="I130" s="8" t="inlineStr">
        <is>
          <t>Daraz</t>
        </is>
      </c>
    </row>
    <row r="131" ht="15" customHeight="1">
      <c r="A131" s="11" t="n">
        <v>127</v>
      </c>
      <c r="B131" s="8" t="inlineStr">
        <is>
          <t>ZIC X7</t>
        </is>
      </c>
      <c r="C131" s="8" t="inlineStr">
        <is>
          <t>10W-40</t>
        </is>
      </c>
      <c r="D131" s="12" t="n">
        <v>3</v>
      </c>
      <c r="E131" s="8" t="inlineStr">
        <is>
          <t>PCMO</t>
        </is>
      </c>
      <c r="F131" s="13" t="n">
        <v>1083.33</v>
      </c>
      <c r="G131" s="13" t="n">
        <v>3250</v>
      </c>
      <c r="H131" s="8" t="inlineStr">
        <is>
          <t>ZIC X7 FE 10W-40 Fully Synthetic 3L</t>
        </is>
      </c>
      <c r="I131" s="8" t="inlineStr">
        <is>
          <t>Daraz</t>
        </is>
      </c>
    </row>
    <row r="132" ht="15" customHeight="1">
      <c r="A132" s="11" t="n">
        <v>128</v>
      </c>
      <c r="B132" s="8" t="inlineStr">
        <is>
          <t>ZIC X7</t>
        </is>
      </c>
      <c r="C132" s="8" t="inlineStr">
        <is>
          <t>10W-40</t>
        </is>
      </c>
      <c r="D132" s="12" t="n">
        <v>3</v>
      </c>
      <c r="E132" s="8" t="inlineStr">
        <is>
          <t>PCMO</t>
        </is>
      </c>
      <c r="F132" s="13" t="n">
        <v>2082</v>
      </c>
      <c r="G132" s="13" t="n">
        <v>6246</v>
      </c>
      <c r="H132" s="8" t="inlineStr">
        <is>
          <t>ZIC X7 3 Liter 10W-40 Fully Synthetic Engine Oil</t>
        </is>
      </c>
      <c r="I132" s="8" t="inlineStr">
        <is>
          <t>Daraz</t>
        </is>
      </c>
    </row>
    <row r="133" ht="15" customHeight="1">
      <c r="A133" s="11" t="n">
        <v>129</v>
      </c>
      <c r="B133" s="8" t="inlineStr">
        <is>
          <t>ZIC X7</t>
        </is>
      </c>
      <c r="C133" s="8" t="inlineStr">
        <is>
          <t>10W-40</t>
        </is>
      </c>
      <c r="D133" s="12" t="n">
        <v>3</v>
      </c>
      <c r="E133" s="8" t="inlineStr">
        <is>
          <t>PCMO</t>
        </is>
      </c>
      <c r="F133" s="13" t="n">
        <v>1833.33</v>
      </c>
      <c r="G133" s="13" t="n">
        <v>5500</v>
      </c>
      <c r="H133" s="8" t="inlineStr">
        <is>
          <t>ZIC X7 10W-40 SP - VHVI TECH - 3L</t>
        </is>
      </c>
      <c r="I133" s="8" t="inlineStr">
        <is>
          <t>Daraz</t>
        </is>
      </c>
    </row>
    <row r="134" ht="15" customHeight="1">
      <c r="A134" s="11" t="n">
        <v>130</v>
      </c>
      <c r="B134" s="8" t="inlineStr">
        <is>
          <t>ZIC X7</t>
        </is>
      </c>
      <c r="C134" s="8" t="inlineStr">
        <is>
          <t>10W-40</t>
        </is>
      </c>
      <c r="D134" s="12" t="n">
        <v>3</v>
      </c>
      <c r="E134" s="8" t="inlineStr">
        <is>
          <t>PCMO</t>
        </is>
      </c>
      <c r="F134" s="13" t="n">
        <v>2333.33</v>
      </c>
      <c r="G134" s="13" t="n">
        <v>7000</v>
      </c>
      <c r="H134" s="8" t="inlineStr">
        <is>
          <t>Engine Oil ZIC x7 10w-40 3L  Engine Oil Fully Synthetic  Price 5100/=</t>
        </is>
      </c>
      <c r="I134" s="8" t="inlineStr">
        <is>
          <t>Daraz</t>
        </is>
      </c>
    </row>
    <row r="135" ht="15" customHeight="1">
      <c r="A135" s="11" t="n">
        <v>131</v>
      </c>
      <c r="B135" s="8" t="inlineStr">
        <is>
          <t>ZIC X7</t>
        </is>
      </c>
      <c r="C135" s="8" t="inlineStr">
        <is>
          <t>10W-40</t>
        </is>
      </c>
      <c r="D135" s="12" t="n">
        <v>3</v>
      </c>
      <c r="E135" s="8" t="inlineStr">
        <is>
          <t>PCMO</t>
        </is>
      </c>
      <c r="F135" s="13" t="n">
        <v>1331.67</v>
      </c>
      <c r="G135" s="13" t="n">
        <v>3995</v>
      </c>
      <c r="H135" s="8" t="inlineStr">
        <is>
          <t>ZIC X7 10W-40 A SN - 3 Litre |
Engine Oil</t>
        </is>
      </c>
      <c r="I135" s="8" t="inlineStr">
        <is>
          <t>Daraz</t>
        </is>
      </c>
    </row>
    <row r="136" ht="15" customHeight="1">
      <c r="A136" s="11" t="n">
        <v>132</v>
      </c>
      <c r="B136" s="8" t="inlineStr">
        <is>
          <t>ZIC X7</t>
        </is>
      </c>
      <c r="C136" s="8" t="inlineStr">
        <is>
          <t>10W-40</t>
        </is>
      </c>
      <c r="D136" s="12" t="n">
        <v>3</v>
      </c>
      <c r="E136" s="8" t="inlineStr">
        <is>
          <t>PCMO</t>
        </is>
      </c>
      <c r="F136" s="13" t="n">
        <v>2082</v>
      </c>
      <c r="G136" s="13" t="n">
        <v>6246</v>
      </c>
      <c r="H136" s="8" t="inlineStr">
        <is>
          <t>ZIC X7 3 Liter 10W-40 Fully Synthetic Engine Oil</t>
        </is>
      </c>
      <c r="I136" s="8" t="inlineStr">
        <is>
          <t>Daraz</t>
        </is>
      </c>
    </row>
    <row r="137" ht="15" customHeight="1">
      <c r="A137" s="11" t="n">
        <v>133</v>
      </c>
      <c r="B137" s="8" t="inlineStr">
        <is>
          <t>ZIC X7</t>
        </is>
      </c>
      <c r="C137" s="8" t="inlineStr">
        <is>
          <t>10W-40</t>
        </is>
      </c>
      <c r="D137" s="12" t="n">
        <v>3</v>
      </c>
      <c r="E137" s="8" t="inlineStr">
        <is>
          <t>PCMO</t>
        </is>
      </c>
      <c r="F137" s="13" t="n">
        <v>1583.33</v>
      </c>
      <c r="G137" s="13" t="n">
        <v>4750</v>
      </c>
      <c r="H137" s="8" t="inlineStr">
        <is>
          <t>ZIC X7 10W-40 (VHVI TECH) 3 Liter .Synthetic Formula Engine Oil,API
SP Grade</t>
        </is>
      </c>
      <c r="I137" s="8" t="inlineStr">
        <is>
          <t>Daraz</t>
        </is>
      </c>
    </row>
    <row r="138" ht="15" customHeight="1">
      <c r="A138" s="11" t="n">
        <v>134</v>
      </c>
      <c r="B138" s="8" t="inlineStr">
        <is>
          <t>ZIC X7</t>
        </is>
      </c>
      <c r="C138" s="8" t="inlineStr">
        <is>
          <t>10W-40</t>
        </is>
      </c>
      <c r="D138" s="12" t="n">
        <v>3</v>
      </c>
      <c r="E138" s="8" t="inlineStr">
        <is>
          <t>PCMO</t>
        </is>
      </c>
      <c r="F138" s="13" t="n">
        <v>1083.33</v>
      </c>
      <c r="G138" s="13" t="n">
        <v>3250</v>
      </c>
      <c r="H138" s="8" t="inlineStr">
        <is>
          <t>ZIC X7 FE 10W-40 Fully Synthetic 3L</t>
        </is>
      </c>
      <c r="I138" s="8" t="inlineStr">
        <is>
          <t>Daraz</t>
        </is>
      </c>
    </row>
    <row r="139" ht="15" customHeight="1">
      <c r="A139" s="11" t="n">
        <v>135</v>
      </c>
      <c r="B139" s="8" t="inlineStr">
        <is>
          <t>ZIC X7</t>
        </is>
      </c>
      <c r="C139" s="8" t="inlineStr">
        <is>
          <t>10W-40</t>
        </is>
      </c>
      <c r="D139" s="12" t="n">
        <v>3</v>
      </c>
      <c r="E139" s="8" t="inlineStr">
        <is>
          <t>PCMO</t>
        </is>
      </c>
      <c r="F139" s="13" t="n">
        <v>1833.33</v>
      </c>
      <c r="G139" s="13" t="n">
        <v>5500</v>
      </c>
      <c r="H139" s="8" t="inlineStr">
        <is>
          <t>ZIC X7 10W-40 SP - VHVI TECH - 3L</t>
        </is>
      </c>
      <c r="I139" s="8" t="inlineStr">
        <is>
          <t>Daraz</t>
        </is>
      </c>
    </row>
    <row r="140" ht="15" customHeight="1">
      <c r="A140" s="11" t="n">
        <v>136</v>
      </c>
      <c r="B140" s="8" t="inlineStr">
        <is>
          <t>ZIC X7</t>
        </is>
      </c>
      <c r="C140" s="8" t="inlineStr">
        <is>
          <t>10W-40</t>
        </is>
      </c>
      <c r="D140" s="12" t="n">
        <v>3</v>
      </c>
      <c r="E140" s="8" t="inlineStr">
        <is>
          <t>PCMO</t>
        </is>
      </c>
      <c r="F140" s="13" t="n">
        <v>2333.33</v>
      </c>
      <c r="G140" s="13" t="n">
        <v>7000</v>
      </c>
      <c r="H140" s="8" t="inlineStr">
        <is>
          <t>Engine Oil ZIC x7 10w-40 3L  Engine Oil Fully Synthetic  Price 5100/=</t>
        </is>
      </c>
      <c r="I140" s="8" t="inlineStr">
        <is>
          <t>Daraz</t>
        </is>
      </c>
    </row>
    <row r="141" ht="15" customHeight="1">
      <c r="A141" s="11" t="n">
        <v>137</v>
      </c>
      <c r="B141" s="8" t="inlineStr">
        <is>
          <t>ZIC X7</t>
        </is>
      </c>
      <c r="C141" s="8" t="inlineStr">
        <is>
          <t>10W-40</t>
        </is>
      </c>
      <c r="D141" s="12" t="n">
        <v>3</v>
      </c>
      <c r="E141" s="8" t="inlineStr">
        <is>
          <t>PCMO</t>
        </is>
      </c>
      <c r="F141" s="13" t="n">
        <v>1331.67</v>
      </c>
      <c r="G141" s="13" t="n">
        <v>3995</v>
      </c>
      <c r="H141" s="8" t="inlineStr">
        <is>
          <t>ZIC X7 10W-40 A SN - 3 Litre |
Engine Oil</t>
        </is>
      </c>
      <c r="I141" s="8" t="inlineStr">
        <is>
          <t>Daraz</t>
        </is>
      </c>
    </row>
    <row r="142" ht="15" customHeight="1">
      <c r="A142" s="11" t="n">
        <v>138</v>
      </c>
      <c r="B142" s="8" t="inlineStr">
        <is>
          <t>ZIC X7</t>
        </is>
      </c>
      <c r="C142" s="8" t="inlineStr">
        <is>
          <t>10W-40</t>
        </is>
      </c>
      <c r="D142" s="12" t="n">
        <v>3</v>
      </c>
      <c r="E142" s="8" t="inlineStr">
        <is>
          <t>PCMO</t>
        </is>
      </c>
      <c r="F142" s="13" t="n">
        <v>1583.33</v>
      </c>
      <c r="G142" s="13" t="n">
        <v>4750</v>
      </c>
      <c r="H142" s="8" t="inlineStr">
        <is>
          <t>ZIC X7 10W-40 (VHVI TECH) 3 Liter .Synthetic Formula Engine Oil,API
SP Grade</t>
        </is>
      </c>
      <c r="I142" s="8" t="inlineStr">
        <is>
          <t>Daraz</t>
        </is>
      </c>
    </row>
    <row r="143" ht="15" customHeight="1">
      <c r="A143" s="11" t="n">
        <v>139</v>
      </c>
      <c r="B143" s="8" t="inlineStr">
        <is>
          <t>ZIC X7</t>
        </is>
      </c>
      <c r="C143" s="8" t="inlineStr">
        <is>
          <t>10W-40</t>
        </is>
      </c>
      <c r="D143" s="12" t="n">
        <v>3</v>
      </c>
      <c r="E143" s="8" t="inlineStr">
        <is>
          <t>PCMO</t>
        </is>
      </c>
      <c r="F143" s="13" t="n">
        <v>1083.33</v>
      </c>
      <c r="G143" s="13" t="n">
        <v>3250</v>
      </c>
      <c r="H143" s="8" t="inlineStr">
        <is>
          <t>ZIC X7 FE 10W-40 Fully Synthetic 3L</t>
        </is>
      </c>
      <c r="I143" s="8" t="inlineStr">
        <is>
          <t>Daraz</t>
        </is>
      </c>
    </row>
    <row r="144" ht="15" customHeight="1">
      <c r="A144" s="11" t="n">
        <v>140</v>
      </c>
      <c r="B144" s="8" t="inlineStr">
        <is>
          <t>ZIC X7</t>
        </is>
      </c>
      <c r="C144" s="8" t="inlineStr">
        <is>
          <t>10W-40</t>
        </is>
      </c>
      <c r="D144" s="12" t="n">
        <v>3</v>
      </c>
      <c r="E144" s="8" t="inlineStr">
        <is>
          <t>PCMO</t>
        </is>
      </c>
      <c r="F144" s="13" t="n">
        <v>2082</v>
      </c>
      <c r="G144" s="13" t="n">
        <v>6246</v>
      </c>
      <c r="H144" s="8" t="inlineStr">
        <is>
          <t>ZIC X7 3 Liter 10W-40 Fully Synthetic Engine Oil</t>
        </is>
      </c>
      <c r="I144" s="8" t="inlineStr">
        <is>
          <t>Daraz</t>
        </is>
      </c>
    </row>
    <row r="145" ht="15" customHeight="1">
      <c r="A145" s="11" t="n">
        <v>141</v>
      </c>
      <c r="B145" s="8" t="inlineStr">
        <is>
          <t>ZIC X7</t>
        </is>
      </c>
      <c r="C145" s="8" t="inlineStr">
        <is>
          <t>10W-40</t>
        </is>
      </c>
      <c r="D145" s="12" t="n">
        <v>3</v>
      </c>
      <c r="E145" s="8" t="inlineStr">
        <is>
          <t>PCMO</t>
        </is>
      </c>
      <c r="F145" s="13" t="n">
        <v>1583.33</v>
      </c>
      <c r="G145" s="13" t="n">
        <v>4750</v>
      </c>
      <c r="H145" s="8" t="inlineStr">
        <is>
          <t>ZIC X7 10W-40 (VHVI TECH) 3 Liter .Synthetic Formula Engine Oil,API
SP Grade</t>
        </is>
      </c>
      <c r="I145" s="8" t="inlineStr">
        <is>
          <t>Daraz</t>
        </is>
      </c>
    </row>
    <row r="146" ht="15" customHeight="1">
      <c r="A146" s="11" t="n">
        <v>142</v>
      </c>
      <c r="B146" s="8" t="inlineStr">
        <is>
          <t>ZIC X7</t>
        </is>
      </c>
      <c r="C146" s="8" t="inlineStr">
        <is>
          <t>10W-40</t>
        </is>
      </c>
      <c r="D146" s="12" t="n">
        <v>3</v>
      </c>
      <c r="E146" s="8" t="inlineStr">
        <is>
          <t>PCMO</t>
        </is>
      </c>
      <c r="F146" s="13" t="n">
        <v>1331.67</v>
      </c>
      <c r="G146" s="13" t="n">
        <v>3995</v>
      </c>
      <c r="H146" s="8" t="inlineStr">
        <is>
          <t>ZIC X7 10W-40 A SN - 3 Litre |
Engine Oil</t>
        </is>
      </c>
      <c r="I146" s="8" t="inlineStr">
        <is>
          <t>Daraz</t>
        </is>
      </c>
    </row>
    <row r="147" ht="15" customHeight="1">
      <c r="A147" s="11" t="n">
        <v>143</v>
      </c>
      <c r="B147" s="8" t="inlineStr">
        <is>
          <t>ZIC X7</t>
        </is>
      </c>
      <c r="C147" s="8" t="inlineStr">
        <is>
          <t>10W-40</t>
        </is>
      </c>
      <c r="D147" s="12" t="n">
        <v>3</v>
      </c>
      <c r="E147" s="8" t="inlineStr">
        <is>
          <t>PCMO</t>
        </is>
      </c>
      <c r="F147" s="13" t="n">
        <v>1083.33</v>
      </c>
      <c r="G147" s="13" t="n">
        <v>3250</v>
      </c>
      <c r="H147" s="8" t="inlineStr">
        <is>
          <t>ZIC X7 FE 10W-40 Fully Synthetic 3L</t>
        </is>
      </c>
      <c r="I147" s="8" t="inlineStr">
        <is>
          <t>Daraz</t>
        </is>
      </c>
    </row>
    <row r="148" ht="15" customHeight="1">
      <c r="A148" s="11" t="n">
        <v>144</v>
      </c>
      <c r="B148" s="8" t="inlineStr">
        <is>
          <t>ZIC X7</t>
        </is>
      </c>
      <c r="C148" s="8" t="inlineStr">
        <is>
          <t>10W-40</t>
        </is>
      </c>
      <c r="D148" s="12" t="n">
        <v>3</v>
      </c>
      <c r="E148" s="8" t="inlineStr">
        <is>
          <t>PCMO</t>
        </is>
      </c>
      <c r="F148" s="13" t="n">
        <v>1833.33</v>
      </c>
      <c r="G148" s="13" t="n">
        <v>5500</v>
      </c>
      <c r="H148" s="8" t="inlineStr">
        <is>
          <t>ZIC X7 10W-40 SP - VHVI TECH - 3L</t>
        </is>
      </c>
      <c r="I148" s="8" t="inlineStr">
        <is>
          <t>Daraz</t>
        </is>
      </c>
    </row>
    <row r="149" ht="15" customHeight="1">
      <c r="A149" s="11" t="n">
        <v>145</v>
      </c>
      <c r="B149" s="8" t="inlineStr">
        <is>
          <t>ZIC X7</t>
        </is>
      </c>
      <c r="C149" s="8" t="inlineStr">
        <is>
          <t>10W-40</t>
        </is>
      </c>
      <c r="D149" s="12" t="n">
        <v>3</v>
      </c>
      <c r="E149" s="8" t="inlineStr">
        <is>
          <t>PCMO</t>
        </is>
      </c>
      <c r="F149" s="13" t="n">
        <v>2333.33</v>
      </c>
      <c r="G149" s="13" t="n">
        <v>7000</v>
      </c>
      <c r="H149" s="8" t="inlineStr">
        <is>
          <t>Engine Oil ZIC x7 10w-40 3L  Engine Oil Fully Synthetic  Price 5100/=</t>
        </is>
      </c>
      <c r="I149" s="8" t="inlineStr">
        <is>
          <t>Daraz</t>
        </is>
      </c>
    </row>
    <row r="150" ht="15" customHeight="1">
      <c r="A150" s="11" t="n">
        <v>146</v>
      </c>
      <c r="B150" s="8" t="inlineStr">
        <is>
          <t>ZIC X7</t>
        </is>
      </c>
      <c r="C150" s="8" t="inlineStr">
        <is>
          <t>10W-40</t>
        </is>
      </c>
      <c r="D150" s="12" t="n">
        <v>3</v>
      </c>
      <c r="E150" s="8" t="inlineStr">
        <is>
          <t>PCMO</t>
        </is>
      </c>
      <c r="F150" s="13" t="n">
        <v>1083.33</v>
      </c>
      <c r="G150" s="13" t="n">
        <v>3250</v>
      </c>
      <c r="H150" s="8" t="inlineStr">
        <is>
          <t>ZIC X7 FE 10W-40 Fully Synthetic 3L</t>
        </is>
      </c>
      <c r="I150" s="8" t="inlineStr">
        <is>
          <t>Daraz</t>
        </is>
      </c>
    </row>
    <row r="151" ht="15" customHeight="1">
      <c r="A151" s="11" t="n">
        <v>147</v>
      </c>
      <c r="B151" s="8" t="inlineStr">
        <is>
          <t>ZIC X7</t>
        </is>
      </c>
      <c r="C151" s="8" t="inlineStr">
        <is>
          <t>10W-40</t>
        </is>
      </c>
      <c r="D151" s="12" t="n">
        <v>3</v>
      </c>
      <c r="E151" s="8" t="inlineStr">
        <is>
          <t>PCMO</t>
        </is>
      </c>
      <c r="F151" s="13" t="n">
        <v>2082</v>
      </c>
      <c r="G151" s="13" t="n">
        <v>6246</v>
      </c>
      <c r="H151" s="8" t="inlineStr">
        <is>
          <t>ZIC X7 3 Liter 10W-40 Fully Synthetic Engine Oil</t>
        </is>
      </c>
      <c r="I151" s="8" t="inlineStr">
        <is>
          <t>Daraz</t>
        </is>
      </c>
    </row>
    <row r="152" ht="15" customHeight="1">
      <c r="A152" s="11" t="n">
        <v>148</v>
      </c>
      <c r="B152" s="8" t="inlineStr">
        <is>
          <t>ZIC X7</t>
        </is>
      </c>
      <c r="C152" s="8" t="inlineStr">
        <is>
          <t>10W-40</t>
        </is>
      </c>
      <c r="D152" s="12" t="n">
        <v>3</v>
      </c>
      <c r="E152" s="8" t="inlineStr">
        <is>
          <t>PCMO</t>
        </is>
      </c>
      <c r="F152" s="13" t="n">
        <v>1833.33</v>
      </c>
      <c r="G152" s="13" t="n">
        <v>5500</v>
      </c>
      <c r="H152" s="8" t="inlineStr">
        <is>
          <t>ZIC X7 10W-40 SP - VHVI TECH - 3L</t>
        </is>
      </c>
      <c r="I152" s="8" t="inlineStr">
        <is>
          <t>Daraz</t>
        </is>
      </c>
    </row>
    <row r="153" ht="15" customHeight="1">
      <c r="A153" s="11" t="n">
        <v>149</v>
      </c>
      <c r="B153" s="8" t="inlineStr">
        <is>
          <t>ZIC X7</t>
        </is>
      </c>
      <c r="C153" s="8" t="inlineStr">
        <is>
          <t>10W-40</t>
        </is>
      </c>
      <c r="D153" s="12" t="n">
        <v>3</v>
      </c>
      <c r="E153" s="8" t="inlineStr">
        <is>
          <t>PCMO</t>
        </is>
      </c>
      <c r="F153" s="13" t="n">
        <v>2082</v>
      </c>
      <c r="G153" s="13" t="n">
        <v>6246</v>
      </c>
      <c r="H153" s="8" t="inlineStr">
        <is>
          <t>ZIC X7 3 Liter 10W-40 Fully Synthetic Engine Oil</t>
        </is>
      </c>
      <c r="I153" s="8" t="inlineStr">
        <is>
          <t>Daraz</t>
        </is>
      </c>
    </row>
    <row r="154" ht="15" customHeight="1">
      <c r="A154" s="11" t="n">
        <v>150</v>
      </c>
      <c r="B154" s="8" t="inlineStr">
        <is>
          <t>ZIC X7</t>
        </is>
      </c>
      <c r="C154" s="8" t="inlineStr">
        <is>
          <t>10W-40</t>
        </is>
      </c>
      <c r="D154" s="12" t="n">
        <v>3</v>
      </c>
      <c r="E154" s="8" t="inlineStr">
        <is>
          <t>PCMO</t>
        </is>
      </c>
      <c r="F154" s="13" t="n">
        <v>1083.33</v>
      </c>
      <c r="G154" s="13" t="n">
        <v>3250</v>
      </c>
      <c r="H154" s="8" t="inlineStr">
        <is>
          <t>ZIC X7 FE 10W-40 Fully Synthetic 3L</t>
        </is>
      </c>
      <c r="I154" s="8" t="inlineStr">
        <is>
          <t>Daraz</t>
        </is>
      </c>
    </row>
    <row r="155" ht="15" customHeight="1">
      <c r="A155" s="11" t="n">
        <v>151</v>
      </c>
      <c r="B155" s="8" t="inlineStr">
        <is>
          <t>ZIC X7</t>
        </is>
      </c>
      <c r="C155" s="8" t="inlineStr">
        <is>
          <t>10W-40</t>
        </is>
      </c>
      <c r="D155" s="12" t="n">
        <v>3</v>
      </c>
      <c r="E155" s="8" t="inlineStr">
        <is>
          <t>PCMO</t>
        </is>
      </c>
      <c r="F155" s="13" t="n">
        <v>1833.33</v>
      </c>
      <c r="G155" s="13" t="n">
        <v>5500</v>
      </c>
      <c r="H155" s="8" t="inlineStr">
        <is>
          <t>ZIC X7 10W-40 SP - VHVI TECH - 3L</t>
        </is>
      </c>
      <c r="I155" s="8" t="inlineStr">
        <is>
          <t>Daraz</t>
        </is>
      </c>
    </row>
    <row r="156" ht="15" customHeight="1">
      <c r="A156" s="11" t="n">
        <v>152</v>
      </c>
      <c r="B156" s="8" t="inlineStr">
        <is>
          <t>ZIC X7</t>
        </is>
      </c>
      <c r="C156" s="8" t="inlineStr">
        <is>
          <t>10W-40</t>
        </is>
      </c>
      <c r="D156" s="12" t="n">
        <v>4</v>
      </c>
      <c r="E156" s="8" t="inlineStr">
        <is>
          <t>PCMO</t>
        </is>
      </c>
      <c r="F156" s="13" t="n">
        <v>1024.75</v>
      </c>
      <c r="G156" s="13" t="n">
        <v>4099</v>
      </c>
      <c r="H156" s="8" t="inlineStr">
        <is>
          <t>@ ZIC X7 10W-40 4 litre best engine oil for cars and all automotives  Synthetic | Crude | Raw</t>
        </is>
      </c>
      <c r="I156" s="8" t="inlineStr">
        <is>
          <t>Daraz</t>
        </is>
      </c>
    </row>
    <row r="157" ht="15" customHeight="1">
      <c r="A157" s="11" t="n">
        <v>153</v>
      </c>
      <c r="B157" s="8" t="inlineStr">
        <is>
          <t>ZIC X7</t>
        </is>
      </c>
      <c r="C157" s="8" t="inlineStr">
        <is>
          <t>10W-40</t>
        </is>
      </c>
      <c r="D157" s="12" t="n">
        <v>4</v>
      </c>
      <c r="E157" s="8" t="inlineStr">
        <is>
          <t>PCMO</t>
        </is>
      </c>
      <c r="F157" s="13" t="n">
        <v>1625</v>
      </c>
      <c r="G157" s="13" t="n">
        <v>6500</v>
      </c>
      <c r="H157" s="8" t="inlineStr">
        <is>
          <t>ZIC X7 10W-40 (VHVI TECH) 4 Liter .Synthetic Formula Engine oil</t>
        </is>
      </c>
      <c r="I157" s="8" t="inlineStr">
        <is>
          <t>Daraz</t>
        </is>
      </c>
    </row>
    <row r="158" ht="15" customHeight="1">
      <c r="A158" s="11" t="n">
        <v>154</v>
      </c>
      <c r="B158" s="8" t="inlineStr">
        <is>
          <t>ZIC X7</t>
        </is>
      </c>
      <c r="C158" s="8" t="inlineStr">
        <is>
          <t>10W-40</t>
        </is>
      </c>
      <c r="D158" s="12" t="n">
        <v>4</v>
      </c>
      <c r="E158" s="8" t="inlineStr">
        <is>
          <t>PCMO</t>
        </is>
      </c>
      <c r="F158" s="13" t="n">
        <v>1024.75</v>
      </c>
      <c r="G158" s="13" t="n">
        <v>4099</v>
      </c>
      <c r="H158" s="8" t="inlineStr">
        <is>
          <t>@ ZIC X7 10W-40 4 litre best engine oil for cars and all automotives  Synthetic | Crude | Raw</t>
        </is>
      </c>
      <c r="I158" s="8" t="inlineStr">
        <is>
          <t>Daraz</t>
        </is>
      </c>
    </row>
    <row r="159" ht="15" customHeight="1">
      <c r="A159" s="11" t="n">
        <v>155</v>
      </c>
      <c r="B159" s="8" t="inlineStr">
        <is>
          <t>ZIC X7</t>
        </is>
      </c>
      <c r="C159" s="8" t="inlineStr">
        <is>
          <t>10W-40</t>
        </is>
      </c>
      <c r="D159" s="12" t="n">
        <v>4</v>
      </c>
      <c r="E159" s="8" t="inlineStr">
        <is>
          <t>PCMO</t>
        </is>
      </c>
      <c r="F159" s="13" t="n">
        <v>940</v>
      </c>
      <c r="G159" s="13" t="n">
        <v>3760</v>
      </c>
      <c r="H159" s="8" t="inlineStr">
        <is>
          <t>Zic x7 10w40 4L Fully Synthetic Engine Oil</t>
        </is>
      </c>
      <c r="I159" s="8" t="inlineStr">
        <is>
          <t>Daraz</t>
        </is>
      </c>
    </row>
    <row r="160" ht="15" customHeight="1">
      <c r="A160" s="11" t="n">
        <v>156</v>
      </c>
      <c r="B160" s="8" t="inlineStr">
        <is>
          <t>ZIC X7</t>
        </is>
      </c>
      <c r="C160" s="8" t="inlineStr">
        <is>
          <t>10W-40</t>
        </is>
      </c>
      <c r="D160" s="12" t="n">
        <v>4</v>
      </c>
      <c r="E160" s="8" t="inlineStr">
        <is>
          <t>PCMO</t>
        </is>
      </c>
      <c r="F160" s="13" t="n">
        <v>1015</v>
      </c>
      <c r="G160" s="13" t="n">
        <v>4060</v>
      </c>
      <c r="H160" s="8" t="inlineStr">
        <is>
          <t>ZIC X7 10W40 VHVI QUALITY OIL 4L</t>
        </is>
      </c>
      <c r="I160" s="8" t="inlineStr">
        <is>
          <t>Daraz</t>
        </is>
      </c>
    </row>
    <row r="161" ht="15" customHeight="1">
      <c r="A161" s="11" t="n">
        <v>157</v>
      </c>
      <c r="B161" s="8" t="inlineStr">
        <is>
          <t>ZIC X7</t>
        </is>
      </c>
      <c r="C161" s="8" t="inlineStr">
        <is>
          <t>10W-40</t>
        </is>
      </c>
      <c r="D161" s="12" t="n">
        <v>4</v>
      </c>
      <c r="E161" s="8" t="inlineStr">
        <is>
          <t>PCMO</t>
        </is>
      </c>
      <c r="F161" s="13" t="n">
        <v>1122.5</v>
      </c>
      <c r="G161" s="13" t="n">
        <v>4490</v>
      </c>
      <c r="H161" s="8" t="inlineStr">
        <is>
          <t>ZIC X7 10W-40 (VHVI TECH) 4 LITRE</t>
        </is>
      </c>
      <c r="I161" s="8" t="inlineStr">
        <is>
          <t>Daraz</t>
        </is>
      </c>
    </row>
    <row r="162" ht="15" customHeight="1">
      <c r="A162" s="11" t="n">
        <v>158</v>
      </c>
      <c r="B162" s="8" t="inlineStr">
        <is>
          <t>ZIC X7</t>
        </is>
      </c>
      <c r="C162" s="8" t="inlineStr">
        <is>
          <t>10W-40</t>
        </is>
      </c>
      <c r="D162" s="12" t="n">
        <v>4</v>
      </c>
      <c r="E162" s="8" t="inlineStr">
        <is>
          <t>PCMO</t>
        </is>
      </c>
      <c r="F162" s="13" t="n">
        <v>990</v>
      </c>
      <c r="G162" s="13" t="n">
        <v>3960</v>
      </c>
      <c r="H162" s="8" t="inlineStr">
        <is>
          <t>ZIC X7 10W-40 4L</t>
        </is>
      </c>
      <c r="I162" s="8" t="inlineStr">
        <is>
          <t>Daraz</t>
        </is>
      </c>
    </row>
    <row r="163" ht="15" customHeight="1">
      <c r="A163" s="11" t="n">
        <v>159</v>
      </c>
      <c r="B163" s="8" t="inlineStr">
        <is>
          <t>ZIC X7</t>
        </is>
      </c>
      <c r="C163" s="8" t="inlineStr">
        <is>
          <t>10W-40</t>
        </is>
      </c>
      <c r="D163" s="12" t="n">
        <v>4</v>
      </c>
      <c r="E163" s="8" t="inlineStr">
        <is>
          <t>PCMO</t>
        </is>
      </c>
      <c r="F163" s="13" t="n">
        <v>1024.75</v>
      </c>
      <c r="G163" s="13" t="n">
        <v>4099</v>
      </c>
      <c r="H163" s="8" t="inlineStr">
        <is>
          <t>@ ZIC X7 10W-40 4 litre best engine oil for cars and all automotives  Synthetic | Crude | Raw2nd</t>
        </is>
      </c>
      <c r="I163" s="8" t="inlineStr">
        <is>
          <t>Daraz</t>
        </is>
      </c>
    </row>
    <row r="164" ht="15" customHeight="1">
      <c r="A164" s="11" t="n">
        <v>160</v>
      </c>
      <c r="B164" s="8" t="inlineStr">
        <is>
          <t>ZIC X7</t>
        </is>
      </c>
      <c r="C164" s="8" t="inlineStr">
        <is>
          <t>10W-40</t>
        </is>
      </c>
      <c r="D164" s="12" t="n">
        <v>4</v>
      </c>
      <c r="E164" s="8" t="inlineStr">
        <is>
          <t>PCMO</t>
        </is>
      </c>
      <c r="F164" s="13" t="n">
        <v>1024.75</v>
      </c>
      <c r="G164" s="13" t="n">
        <v>4099</v>
      </c>
      <c r="H164" s="8" t="inlineStr">
        <is>
          <t>@ ZIC X7 10W-40 4 litre best engine oil for cars and all automotives  Synthetic | Crude | Raw2nd</t>
        </is>
      </c>
      <c r="I164" s="8" t="inlineStr">
        <is>
          <t>Daraz</t>
        </is>
      </c>
    </row>
    <row r="165" ht="15" customHeight="1">
      <c r="A165" s="11" t="n">
        <v>161</v>
      </c>
      <c r="B165" s="8" t="inlineStr">
        <is>
          <t>ZIC X7</t>
        </is>
      </c>
      <c r="C165" s="8" t="inlineStr">
        <is>
          <t>10W-40</t>
        </is>
      </c>
      <c r="D165" s="12" t="n">
        <v>4</v>
      </c>
      <c r="E165" s="8" t="inlineStr">
        <is>
          <t>PCMO</t>
        </is>
      </c>
      <c r="F165" s="13" t="n">
        <v>1049.75</v>
      </c>
      <c r="G165" s="13" t="n">
        <v>4199</v>
      </c>
      <c r="H165" s="8" t="inlineStr">
        <is>
          <t>Zic x7 10w40 4L Fully Synthetic Engine Oil</t>
        </is>
      </c>
      <c r="I165" s="8" t="inlineStr">
        <is>
          <t>Daraz</t>
        </is>
      </c>
    </row>
    <row r="166" ht="15" customHeight="1">
      <c r="A166" s="11" t="n">
        <v>162</v>
      </c>
      <c r="B166" s="8" t="inlineStr">
        <is>
          <t>ZIC X7</t>
        </is>
      </c>
      <c r="C166" s="8" t="inlineStr">
        <is>
          <t>10W-40</t>
        </is>
      </c>
      <c r="D166" s="12" t="n">
        <v>4</v>
      </c>
      <c r="E166" s="8" t="inlineStr">
        <is>
          <t>PCMO</t>
        </is>
      </c>
      <c r="F166" s="13" t="n">
        <v>1025</v>
      </c>
      <c r="G166" s="13" t="n">
        <v>4100</v>
      </c>
      <c r="H166" s="8" t="inlineStr">
        <is>
          <t>Zic x7 10w40 4L Fully Synthetic Engine Oil</t>
        </is>
      </c>
      <c r="I166" s="8" t="inlineStr">
        <is>
          <t>Daraz</t>
        </is>
      </c>
    </row>
    <row r="167" ht="15" customHeight="1">
      <c r="A167" s="11" t="n">
        <v>163</v>
      </c>
      <c r="B167" s="8" t="inlineStr">
        <is>
          <t>ZIC X7</t>
        </is>
      </c>
      <c r="C167" s="8" t="inlineStr">
        <is>
          <t>10W-40</t>
        </is>
      </c>
      <c r="D167" s="12" t="n">
        <v>4</v>
      </c>
      <c r="E167" s="8" t="inlineStr">
        <is>
          <t>PCMO</t>
        </is>
      </c>
      <c r="F167" s="13" t="n">
        <v>1024.75</v>
      </c>
      <c r="G167" s="13" t="n">
        <v>4099</v>
      </c>
      <c r="H167" s="8" t="inlineStr">
        <is>
          <t>@ ZIC X7 10W-40 4 litre best engine oil for cars and all automotives  Synthetic | Crude | Raw</t>
        </is>
      </c>
      <c r="I167" s="8" t="inlineStr">
        <is>
          <t>Daraz</t>
        </is>
      </c>
    </row>
    <row r="168" ht="15" customHeight="1">
      <c r="A168" s="11" t="n">
        <v>164</v>
      </c>
      <c r="B168" s="8" t="inlineStr">
        <is>
          <t>ZIC X7</t>
        </is>
      </c>
      <c r="C168" s="8" t="inlineStr">
        <is>
          <t>10W-40</t>
        </is>
      </c>
      <c r="D168" s="12" t="n">
        <v>4</v>
      </c>
      <c r="E168" s="8" t="inlineStr">
        <is>
          <t>PCMO</t>
        </is>
      </c>
      <c r="F168" s="13" t="n">
        <v>1625</v>
      </c>
      <c r="G168" s="13" t="n">
        <v>6500</v>
      </c>
      <c r="H168" s="8" t="inlineStr">
        <is>
          <t>ZIC X7 10W-40 (VHVI TECH) 4 Liter .Synthetic Formula Engine oil</t>
        </is>
      </c>
      <c r="I168" s="8" t="inlineStr">
        <is>
          <t>Daraz</t>
        </is>
      </c>
    </row>
    <row r="169" ht="15" customHeight="1">
      <c r="A169" s="11" t="n">
        <v>165</v>
      </c>
      <c r="B169" s="8" t="inlineStr">
        <is>
          <t>ZIC X7</t>
        </is>
      </c>
      <c r="C169" s="8" t="inlineStr">
        <is>
          <t>10W-40</t>
        </is>
      </c>
      <c r="D169" s="12" t="n">
        <v>4</v>
      </c>
      <c r="E169" s="8" t="inlineStr">
        <is>
          <t>PCMO</t>
        </is>
      </c>
      <c r="F169" s="13" t="n">
        <v>940</v>
      </c>
      <c r="G169" s="13" t="n">
        <v>3760</v>
      </c>
      <c r="H169" s="8" t="inlineStr">
        <is>
          <t>Zic x7 10w40 4L Fully Synthetic Engine Oil</t>
        </is>
      </c>
      <c r="I169" s="8" t="inlineStr">
        <is>
          <t>Daraz</t>
        </is>
      </c>
    </row>
    <row r="170" ht="15" customHeight="1">
      <c r="A170" s="11" t="n">
        <v>166</v>
      </c>
      <c r="B170" s="8" t="inlineStr">
        <is>
          <t>ZIC X7</t>
        </is>
      </c>
      <c r="C170" s="8" t="inlineStr">
        <is>
          <t>10W-40</t>
        </is>
      </c>
      <c r="D170" s="12" t="n">
        <v>4</v>
      </c>
      <c r="E170" s="8" t="inlineStr">
        <is>
          <t>PCMO</t>
        </is>
      </c>
      <c r="F170" s="13" t="n">
        <v>1122.5</v>
      </c>
      <c r="G170" s="13" t="n">
        <v>4490</v>
      </c>
      <c r="H170" s="8" t="inlineStr">
        <is>
          <t>ZIC X7 10W-40 (VHVI TECH) 4 LITRE</t>
        </is>
      </c>
      <c r="I170" s="8" t="inlineStr">
        <is>
          <t>Daraz</t>
        </is>
      </c>
    </row>
    <row r="171" ht="15" customHeight="1">
      <c r="A171" s="11" t="n">
        <v>167</v>
      </c>
      <c r="B171" s="8" t="inlineStr">
        <is>
          <t>ZIC X7</t>
        </is>
      </c>
      <c r="C171" s="8" t="inlineStr">
        <is>
          <t>10W-40</t>
        </is>
      </c>
      <c r="D171" s="12" t="n">
        <v>4</v>
      </c>
      <c r="E171" s="8" t="inlineStr">
        <is>
          <t>PCMO</t>
        </is>
      </c>
      <c r="F171" s="13" t="n">
        <v>1015</v>
      </c>
      <c r="G171" s="13" t="n">
        <v>4060</v>
      </c>
      <c r="H171" s="8" t="inlineStr">
        <is>
          <t>ZIC X7 10W40 VHVI QUALITY OIL 4L</t>
        </is>
      </c>
      <c r="I171" s="8" t="inlineStr">
        <is>
          <t>Daraz</t>
        </is>
      </c>
    </row>
    <row r="172" ht="15" customHeight="1">
      <c r="A172" s="11" t="n">
        <v>168</v>
      </c>
      <c r="B172" s="8" t="inlineStr">
        <is>
          <t>ZIC X7</t>
        </is>
      </c>
      <c r="C172" s="8" t="inlineStr">
        <is>
          <t>10W-40</t>
        </is>
      </c>
      <c r="D172" s="12" t="n">
        <v>4</v>
      </c>
      <c r="E172" s="8" t="inlineStr">
        <is>
          <t>PCMO</t>
        </is>
      </c>
      <c r="F172" s="13" t="n">
        <v>1025</v>
      </c>
      <c r="G172" s="13" t="n">
        <v>4100</v>
      </c>
      <c r="H172" s="8" t="inlineStr">
        <is>
          <t>Zic x7 10w40 4L Fully Synthetic Engine Oil</t>
        </is>
      </c>
      <c r="I172" s="8" t="inlineStr">
        <is>
          <t>Daraz</t>
        </is>
      </c>
    </row>
    <row r="173" ht="15" customHeight="1">
      <c r="A173" s="11" t="n">
        <v>169</v>
      </c>
      <c r="B173" s="8" t="inlineStr">
        <is>
          <t>ZIC X7</t>
        </is>
      </c>
      <c r="C173" s="8" t="inlineStr">
        <is>
          <t>10W-40</t>
        </is>
      </c>
      <c r="D173" s="12" t="n">
        <v>4</v>
      </c>
      <c r="E173" s="8" t="inlineStr">
        <is>
          <t>PCMO</t>
        </is>
      </c>
      <c r="F173" s="13" t="n">
        <v>990</v>
      </c>
      <c r="G173" s="13" t="n">
        <v>3960</v>
      </c>
      <c r="H173" s="8" t="inlineStr">
        <is>
          <t>ZIC X7 10W-40 4L</t>
        </is>
      </c>
      <c r="I173" s="8" t="inlineStr">
        <is>
          <t>Daraz</t>
        </is>
      </c>
    </row>
    <row r="174" ht="15" customHeight="1">
      <c r="A174" s="11" t="n">
        <v>170</v>
      </c>
      <c r="B174" s="8" t="inlineStr">
        <is>
          <t>ZIC X7</t>
        </is>
      </c>
      <c r="C174" s="8" t="inlineStr">
        <is>
          <t>10W-40</t>
        </is>
      </c>
      <c r="D174" s="12" t="n">
        <v>4</v>
      </c>
      <c r="E174" s="8" t="inlineStr">
        <is>
          <t>PCMO</t>
        </is>
      </c>
      <c r="F174" s="13" t="n">
        <v>1024.75</v>
      </c>
      <c r="G174" s="13" t="n">
        <v>4099</v>
      </c>
      <c r="H174" s="8" t="inlineStr">
        <is>
          <t>@ ZIC X7 10W-40 4 litre best engine oil for cars and all automotives  Synthetic | Crude | Raw2nd</t>
        </is>
      </c>
      <c r="I174" s="8" t="inlineStr">
        <is>
          <t>Daraz</t>
        </is>
      </c>
    </row>
    <row r="175" ht="15" customHeight="1">
      <c r="A175" s="11" t="n">
        <v>171</v>
      </c>
      <c r="B175" s="8" t="inlineStr">
        <is>
          <t>ZIC X7</t>
        </is>
      </c>
      <c r="C175" s="8" t="inlineStr">
        <is>
          <t>10W-40</t>
        </is>
      </c>
      <c r="D175" s="12" t="n">
        <v>4</v>
      </c>
      <c r="E175" s="8" t="inlineStr">
        <is>
          <t>PCMO</t>
        </is>
      </c>
      <c r="F175" s="13" t="n">
        <v>1024.75</v>
      </c>
      <c r="G175" s="13" t="n">
        <v>4099</v>
      </c>
      <c r="H175" s="8" t="inlineStr">
        <is>
          <t>@ ZIC X7 10W-40 4 litre best engine oil for cars and all automotives  Synthetic | Crude | Raw2nd</t>
        </is>
      </c>
      <c r="I175" s="8" t="inlineStr">
        <is>
          <t>Daraz</t>
        </is>
      </c>
    </row>
    <row r="176" ht="15" customHeight="1">
      <c r="A176" s="11" t="n">
        <v>172</v>
      </c>
      <c r="B176" s="8" t="inlineStr">
        <is>
          <t>ZIC X7</t>
        </is>
      </c>
      <c r="C176" s="8" t="inlineStr">
        <is>
          <t>10W-40</t>
        </is>
      </c>
      <c r="D176" s="12" t="n">
        <v>4</v>
      </c>
      <c r="E176" s="8" t="inlineStr">
        <is>
          <t>PCMO</t>
        </is>
      </c>
      <c r="F176" s="13" t="n">
        <v>1049.75</v>
      </c>
      <c r="G176" s="13" t="n">
        <v>4199</v>
      </c>
      <c r="H176" s="8" t="inlineStr">
        <is>
          <t>Zic x7 10w40 4L Fully Synthetic Engine Oil</t>
        </is>
      </c>
      <c r="I176" s="8" t="inlineStr">
        <is>
          <t>Daraz</t>
        </is>
      </c>
    </row>
    <row r="177" ht="15" customHeight="1">
      <c r="A177" s="11" t="n">
        <v>173</v>
      </c>
      <c r="B177" s="8" t="inlineStr">
        <is>
          <t>ZIC X7</t>
        </is>
      </c>
      <c r="C177" s="8" t="inlineStr">
        <is>
          <t>10W-40</t>
        </is>
      </c>
      <c r="D177" s="12" t="n">
        <v>4</v>
      </c>
      <c r="E177" s="8" t="inlineStr">
        <is>
          <t>PCMO</t>
        </is>
      </c>
      <c r="F177" s="13" t="n">
        <v>940</v>
      </c>
      <c r="G177" s="13" t="n">
        <v>3760</v>
      </c>
      <c r="H177" s="8" t="inlineStr">
        <is>
          <t>Zic x7 10w40 4L Fully Synthetic Engine Oil</t>
        </is>
      </c>
      <c r="I177" s="8" t="inlineStr">
        <is>
          <t>Daraz</t>
        </is>
      </c>
    </row>
    <row r="178" ht="15" customHeight="1">
      <c r="A178" s="11" t="n">
        <v>174</v>
      </c>
      <c r="B178" s="8" t="inlineStr">
        <is>
          <t>ZIC X7</t>
        </is>
      </c>
      <c r="C178" s="8" t="inlineStr">
        <is>
          <t>10W-40</t>
        </is>
      </c>
      <c r="D178" s="12" t="n">
        <v>4</v>
      </c>
      <c r="E178" s="8" t="inlineStr">
        <is>
          <t>PCMO</t>
        </is>
      </c>
      <c r="F178" s="13" t="n">
        <v>1015</v>
      </c>
      <c r="G178" s="13" t="n">
        <v>4060</v>
      </c>
      <c r="H178" s="8" t="inlineStr">
        <is>
          <t>ZIC X7 10W40 VHVI QUALITY OIL 4L</t>
        </is>
      </c>
      <c r="I178" s="8" t="inlineStr">
        <is>
          <t>Daraz</t>
        </is>
      </c>
    </row>
    <row r="179" ht="15" customHeight="1">
      <c r="A179" s="11" t="n">
        <v>175</v>
      </c>
      <c r="B179" s="8" t="inlineStr">
        <is>
          <t>ZIC X7</t>
        </is>
      </c>
      <c r="C179" s="8" t="inlineStr">
        <is>
          <t>10W-40</t>
        </is>
      </c>
      <c r="D179" s="12" t="n">
        <v>4</v>
      </c>
      <c r="E179" s="8" t="inlineStr">
        <is>
          <t>PCMO</t>
        </is>
      </c>
      <c r="F179" s="13" t="n">
        <v>1024.75</v>
      </c>
      <c r="G179" s="13" t="n">
        <v>4099</v>
      </c>
      <c r="H179" s="8" t="inlineStr">
        <is>
          <t>@ ZIC X7 10W-40 4 litre best engine oil for cars and all automotives  Synthetic | Crude | Raw</t>
        </is>
      </c>
      <c r="I179" s="8" t="inlineStr">
        <is>
          <t>Daraz</t>
        </is>
      </c>
    </row>
    <row r="180" ht="15" customHeight="1">
      <c r="A180" s="11" t="n">
        <v>176</v>
      </c>
      <c r="B180" s="8" t="inlineStr">
        <is>
          <t>ZIC X7</t>
        </is>
      </c>
      <c r="C180" s="8" t="inlineStr">
        <is>
          <t>10W-40</t>
        </is>
      </c>
      <c r="D180" s="12" t="n">
        <v>4</v>
      </c>
      <c r="E180" s="8" t="inlineStr">
        <is>
          <t>PCMO</t>
        </is>
      </c>
      <c r="F180" s="13" t="n">
        <v>1024.75</v>
      </c>
      <c r="G180" s="13" t="n">
        <v>4099</v>
      </c>
      <c r="H180" s="8" t="inlineStr">
        <is>
          <t>@ ZIC X7 10W-40 4 litre best engine oil for cars and all automotives  Synthetic | Crude | Raw2nd</t>
        </is>
      </c>
      <c r="I180" s="8" t="inlineStr">
        <is>
          <t>Daraz</t>
        </is>
      </c>
    </row>
    <row r="181" ht="15" customHeight="1">
      <c r="A181" s="11" t="n">
        <v>177</v>
      </c>
      <c r="B181" s="8" t="inlineStr">
        <is>
          <t>ZIC X7</t>
        </is>
      </c>
      <c r="C181" s="8" t="inlineStr">
        <is>
          <t>10W-40</t>
        </is>
      </c>
      <c r="D181" s="12" t="n">
        <v>4</v>
      </c>
      <c r="E181" s="8" t="inlineStr">
        <is>
          <t>PCMO</t>
        </is>
      </c>
      <c r="F181" s="13" t="n">
        <v>1024.75</v>
      </c>
      <c r="G181" s="13" t="n">
        <v>4099</v>
      </c>
      <c r="H181" s="8" t="inlineStr">
        <is>
          <t>@ ZIC X7 10W-40 4 litre best engine oil for cars and all automotives  Synthetic | Crude | Raw2nd</t>
        </is>
      </c>
      <c r="I181" s="8" t="inlineStr">
        <is>
          <t>Daraz</t>
        </is>
      </c>
    </row>
    <row r="182" ht="15" customHeight="1">
      <c r="A182" s="11" t="n">
        <v>178</v>
      </c>
      <c r="B182" s="8" t="inlineStr">
        <is>
          <t>ZIC X7</t>
        </is>
      </c>
      <c r="C182" s="8" t="inlineStr">
        <is>
          <t>10W-40</t>
        </is>
      </c>
      <c r="D182" s="12" t="n">
        <v>4</v>
      </c>
      <c r="E182" s="8" t="inlineStr">
        <is>
          <t>PCMO</t>
        </is>
      </c>
      <c r="F182" s="13" t="n">
        <v>1049.75</v>
      </c>
      <c r="G182" s="13" t="n">
        <v>4199</v>
      </c>
      <c r="H182" s="8" t="inlineStr">
        <is>
          <t>Zic x7 10w40 4L Fully Synthetic Engine Oil</t>
        </is>
      </c>
      <c r="I182" s="8" t="inlineStr">
        <is>
          <t>Daraz</t>
        </is>
      </c>
    </row>
    <row r="183" ht="15" customHeight="1">
      <c r="A183" s="11" t="n">
        <v>179</v>
      </c>
      <c r="B183" s="8" t="inlineStr">
        <is>
          <t>ZIC X7</t>
        </is>
      </c>
      <c r="C183" s="8" t="inlineStr">
        <is>
          <t>10W-40</t>
        </is>
      </c>
      <c r="D183" s="12" t="n">
        <v>4</v>
      </c>
      <c r="E183" s="8" t="inlineStr">
        <is>
          <t>PCMO</t>
        </is>
      </c>
      <c r="F183" s="13" t="n">
        <v>1625</v>
      </c>
      <c r="G183" s="13" t="n">
        <v>6500</v>
      </c>
      <c r="H183" s="8" t="inlineStr">
        <is>
          <t>ZIC X7 10W-40 (VHVI TECH) 4 Liter .Synthetic Formula Engine oil</t>
        </is>
      </c>
      <c r="I183" s="8" t="inlineStr">
        <is>
          <t>Daraz</t>
        </is>
      </c>
    </row>
    <row r="184" ht="15" customHeight="1">
      <c r="A184" s="11" t="n">
        <v>180</v>
      </c>
      <c r="B184" s="8" t="inlineStr">
        <is>
          <t>ZIC X7</t>
        </is>
      </c>
      <c r="C184" s="8" t="inlineStr">
        <is>
          <t>10W-40</t>
        </is>
      </c>
      <c r="D184" s="12" t="n">
        <v>4</v>
      </c>
      <c r="E184" s="8" t="inlineStr">
        <is>
          <t>PCMO</t>
        </is>
      </c>
      <c r="F184" s="13" t="n">
        <v>940</v>
      </c>
      <c r="G184" s="13" t="n">
        <v>3760</v>
      </c>
      <c r="H184" s="8" t="inlineStr">
        <is>
          <t>Zic x7 10w40 4L Fully Synthetic Engine Oil</t>
        </is>
      </c>
      <c r="I184" s="8" t="inlineStr">
        <is>
          <t>Daraz</t>
        </is>
      </c>
    </row>
    <row r="185" ht="15" customHeight="1">
      <c r="A185" s="11" t="n">
        <v>181</v>
      </c>
      <c r="B185" s="8" t="inlineStr">
        <is>
          <t>ZIC X7</t>
        </is>
      </c>
      <c r="C185" s="8" t="inlineStr">
        <is>
          <t>10W-40</t>
        </is>
      </c>
      <c r="D185" s="12" t="n">
        <v>4</v>
      </c>
      <c r="E185" s="8" t="inlineStr">
        <is>
          <t>PCMO</t>
        </is>
      </c>
      <c r="F185" s="13" t="n">
        <v>1122.5</v>
      </c>
      <c r="G185" s="13" t="n">
        <v>4490</v>
      </c>
      <c r="H185" s="8" t="inlineStr">
        <is>
          <t>ZIC X7 10W-40 (VHVI TECH) 4 LITRE</t>
        </is>
      </c>
      <c r="I185" s="8" t="inlineStr">
        <is>
          <t>Daraz</t>
        </is>
      </c>
    </row>
    <row r="186" ht="15" customHeight="1">
      <c r="A186" s="11" t="n">
        <v>182</v>
      </c>
      <c r="B186" s="8" t="inlineStr">
        <is>
          <t>ZIC X7</t>
        </is>
      </c>
      <c r="C186" s="8" t="inlineStr">
        <is>
          <t>10W-40</t>
        </is>
      </c>
      <c r="D186" s="12" t="n">
        <v>4</v>
      </c>
      <c r="E186" s="8" t="inlineStr">
        <is>
          <t>PCMO</t>
        </is>
      </c>
      <c r="F186" s="13" t="n">
        <v>1015</v>
      </c>
      <c r="G186" s="13" t="n">
        <v>4060</v>
      </c>
      <c r="H186" s="8" t="inlineStr">
        <is>
          <t>ZIC X7 10W40 VHVI QUALITY OIL 4L</t>
        </is>
      </c>
      <c r="I186" s="8" t="inlineStr">
        <is>
          <t>Daraz</t>
        </is>
      </c>
    </row>
    <row r="187" ht="15" customHeight="1">
      <c r="A187" s="11" t="n">
        <v>183</v>
      </c>
      <c r="B187" s="8" t="inlineStr">
        <is>
          <t>ZIC X7</t>
        </is>
      </c>
      <c r="C187" s="8" t="inlineStr">
        <is>
          <t>10W-40</t>
        </is>
      </c>
      <c r="D187" s="12" t="n">
        <v>4</v>
      </c>
      <c r="E187" s="8" t="inlineStr">
        <is>
          <t>PCMO</t>
        </is>
      </c>
      <c r="F187" s="13" t="n">
        <v>990</v>
      </c>
      <c r="G187" s="13" t="n">
        <v>3960</v>
      </c>
      <c r="H187" s="8" t="inlineStr">
        <is>
          <t>ZIC X7 10W-40 4L</t>
        </is>
      </c>
      <c r="I187" s="8" t="inlineStr">
        <is>
          <t>Daraz</t>
        </is>
      </c>
    </row>
    <row r="188" ht="15" customHeight="1">
      <c r="A188" s="11" t="n">
        <v>184</v>
      </c>
      <c r="B188" s="8" t="inlineStr">
        <is>
          <t>ZIC X7</t>
        </is>
      </c>
      <c r="C188" s="8" t="inlineStr">
        <is>
          <t>10W-40</t>
        </is>
      </c>
      <c r="D188" s="12" t="n">
        <v>4</v>
      </c>
      <c r="E188" s="8" t="inlineStr">
        <is>
          <t>PCMO</t>
        </is>
      </c>
      <c r="F188" s="13" t="n">
        <v>1024.75</v>
      </c>
      <c r="G188" s="13" t="n">
        <v>4099</v>
      </c>
      <c r="H188" s="8" t="inlineStr">
        <is>
          <t>@ ZIC X7 10W-40 4 litre best engine oil for cars and all automotives  Synthetic | Crude | Raw</t>
        </is>
      </c>
      <c r="I188" s="8" t="inlineStr">
        <is>
          <t>Daraz</t>
        </is>
      </c>
    </row>
    <row r="189" ht="15" customHeight="1">
      <c r="A189" s="11" t="n">
        <v>185</v>
      </c>
      <c r="B189" s="8" t="inlineStr">
        <is>
          <t>ZIC X7</t>
        </is>
      </c>
      <c r="C189" s="8" t="inlineStr">
        <is>
          <t>10W-40</t>
        </is>
      </c>
      <c r="D189" s="12" t="n">
        <v>4</v>
      </c>
      <c r="E189" s="8" t="inlineStr">
        <is>
          <t>PCMO</t>
        </is>
      </c>
      <c r="F189" s="13" t="n">
        <v>1625</v>
      </c>
      <c r="G189" s="13" t="n">
        <v>6500</v>
      </c>
      <c r="H189" s="8" t="inlineStr">
        <is>
          <t>ZIC X7 10W-40 (VHVI TECH) 4 Liter .Synthetic Formula Engine oil</t>
        </is>
      </c>
      <c r="I189" s="8" t="inlineStr">
        <is>
          <t>Daraz</t>
        </is>
      </c>
    </row>
    <row r="190" ht="15" customHeight="1">
      <c r="A190" s="11" t="n">
        <v>186</v>
      </c>
      <c r="B190" s="8" t="inlineStr">
        <is>
          <t>ZIC X7</t>
        </is>
      </c>
      <c r="C190" s="8" t="inlineStr">
        <is>
          <t>10W-40</t>
        </is>
      </c>
      <c r="D190" s="12" t="n">
        <v>4</v>
      </c>
      <c r="E190" s="8" t="inlineStr">
        <is>
          <t>PCMO</t>
        </is>
      </c>
      <c r="F190" s="13" t="n">
        <v>1024.75</v>
      </c>
      <c r="G190" s="13" t="n">
        <v>4099</v>
      </c>
      <c r="H190" s="8" t="inlineStr">
        <is>
          <t>@ ZIC X7 10W-40 4 litre best engine oil for cars and all automotives  Synthetic | Crude | Raw2nd</t>
        </is>
      </c>
      <c r="I190" s="8" t="inlineStr">
        <is>
          <t>Daraz</t>
        </is>
      </c>
    </row>
    <row r="191" ht="15" customHeight="1">
      <c r="A191" s="11" t="n">
        <v>187</v>
      </c>
      <c r="B191" s="8" t="inlineStr">
        <is>
          <t>ZIC X7</t>
        </is>
      </c>
      <c r="C191" s="8" t="inlineStr">
        <is>
          <t>10W-40</t>
        </is>
      </c>
      <c r="D191" s="12" t="n">
        <v>4</v>
      </c>
      <c r="E191" s="8" t="inlineStr">
        <is>
          <t>PCMO</t>
        </is>
      </c>
      <c r="F191" s="13" t="n">
        <v>1024.75</v>
      </c>
      <c r="G191" s="13" t="n">
        <v>4099</v>
      </c>
      <c r="H191" s="8" t="inlineStr">
        <is>
          <t>@ ZIC X7 10W-40 4 litre best engine oil for cars and all automotives  Synthetic | Crude | Raw2nd</t>
        </is>
      </c>
      <c r="I191" s="8" t="inlineStr">
        <is>
          <t>Daraz</t>
        </is>
      </c>
    </row>
    <row r="192" ht="15" customHeight="1">
      <c r="A192" s="11" t="n">
        <v>188</v>
      </c>
      <c r="B192" s="8" t="inlineStr">
        <is>
          <t>ZIC X7</t>
        </is>
      </c>
      <c r="C192" s="8" t="inlineStr">
        <is>
          <t>10W-40</t>
        </is>
      </c>
      <c r="D192" s="12" t="n">
        <v>4</v>
      </c>
      <c r="E192" s="8" t="inlineStr">
        <is>
          <t>PCMO</t>
        </is>
      </c>
      <c r="F192" s="13" t="n">
        <v>1049.75</v>
      </c>
      <c r="G192" s="13" t="n">
        <v>4199</v>
      </c>
      <c r="H192" s="8" t="inlineStr">
        <is>
          <t>Zic x7 10w40 4L Fully Synthetic Engine Oil</t>
        </is>
      </c>
      <c r="I192" s="8" t="inlineStr">
        <is>
          <t>Daraz</t>
        </is>
      </c>
    </row>
    <row r="193" ht="15" customHeight="1">
      <c r="A193" s="11" t="n">
        <v>189</v>
      </c>
      <c r="B193" s="8" t="inlineStr">
        <is>
          <t>ZIC X7</t>
        </is>
      </c>
      <c r="C193" s="8" t="inlineStr">
        <is>
          <t>10W-40</t>
        </is>
      </c>
      <c r="D193" s="12" t="n">
        <v>4</v>
      </c>
      <c r="E193" s="8" t="inlineStr">
        <is>
          <t>PCMO</t>
        </is>
      </c>
      <c r="F193" s="13" t="n">
        <v>940</v>
      </c>
      <c r="G193" s="13" t="n">
        <v>3760</v>
      </c>
      <c r="H193" s="8" t="inlineStr">
        <is>
          <t>Zic x7 10w40 4L Fully Synthetic Engine Oil</t>
        </is>
      </c>
      <c r="I193" s="8" t="inlineStr">
        <is>
          <t>Daraz</t>
        </is>
      </c>
    </row>
    <row r="194" ht="15" customHeight="1">
      <c r="A194" s="11" t="n">
        <v>190</v>
      </c>
      <c r="B194" s="8" t="inlineStr">
        <is>
          <t>ZIC X7</t>
        </is>
      </c>
      <c r="C194" s="8" t="inlineStr">
        <is>
          <t>10W-40</t>
        </is>
      </c>
      <c r="D194" s="12" t="n">
        <v>4</v>
      </c>
      <c r="E194" s="8" t="inlineStr">
        <is>
          <t>PCMO</t>
        </is>
      </c>
      <c r="F194" s="13" t="n">
        <v>1015</v>
      </c>
      <c r="G194" s="13" t="n">
        <v>4060</v>
      </c>
      <c r="H194" s="8" t="inlineStr">
        <is>
          <t>ZIC X7 10W40 VHVI QUALITY OIL 4L</t>
        </is>
      </c>
      <c r="I194" s="8" t="inlineStr">
        <is>
          <t>Daraz</t>
        </is>
      </c>
    </row>
    <row r="195" ht="15" customHeight="1">
      <c r="A195" s="11" t="n">
        <v>191</v>
      </c>
      <c r="B195" s="8" t="inlineStr">
        <is>
          <t>ZIC X7</t>
        </is>
      </c>
      <c r="C195" s="8" t="inlineStr">
        <is>
          <t>10W-40</t>
        </is>
      </c>
      <c r="D195" s="12" t="n">
        <v>4</v>
      </c>
      <c r="E195" s="8" t="inlineStr">
        <is>
          <t>PCMO</t>
        </is>
      </c>
      <c r="F195" s="13" t="n">
        <v>1024.75</v>
      </c>
      <c r="G195" s="13" t="n">
        <v>4099</v>
      </c>
      <c r="H195" s="8" t="inlineStr">
        <is>
          <t>@ ZIC X7 10W-40 4 litre best engine oil for cars and all automotives  Synthetic | Crude | Raw2nd</t>
        </is>
      </c>
      <c r="I195" s="8" t="inlineStr">
        <is>
          <t>Daraz</t>
        </is>
      </c>
    </row>
    <row r="196" ht="15" customHeight="1">
      <c r="A196" s="11" t="n">
        <v>192</v>
      </c>
      <c r="B196" s="8" t="inlineStr">
        <is>
          <t>ZIC X7</t>
        </is>
      </c>
      <c r="C196" s="8" t="inlineStr">
        <is>
          <t>10W-40</t>
        </is>
      </c>
      <c r="D196" s="12" t="n">
        <v>4</v>
      </c>
      <c r="E196" s="8" t="inlineStr">
        <is>
          <t>PCMO</t>
        </is>
      </c>
      <c r="F196" s="13" t="n">
        <v>1024.75</v>
      </c>
      <c r="G196" s="13" t="n">
        <v>4099</v>
      </c>
      <c r="H196" s="8" t="inlineStr">
        <is>
          <t>@ ZIC X7 10W-40 4 litre best engine oil for cars and all automotives  Synthetic | Crude | Raw2nd</t>
        </is>
      </c>
      <c r="I196" s="8" t="inlineStr">
        <is>
          <t>Daraz</t>
        </is>
      </c>
    </row>
    <row r="197" ht="15" customHeight="1">
      <c r="A197" s="11" t="n">
        <v>193</v>
      </c>
      <c r="B197" s="8" t="inlineStr">
        <is>
          <t>ZIC X7</t>
        </is>
      </c>
      <c r="C197" s="8" t="inlineStr">
        <is>
          <t>10W-40</t>
        </is>
      </c>
      <c r="D197" s="12" t="n">
        <v>4</v>
      </c>
      <c r="E197" s="8" t="inlineStr">
        <is>
          <t>PCMO</t>
        </is>
      </c>
      <c r="F197" s="13" t="n">
        <v>1049.75</v>
      </c>
      <c r="G197" s="13" t="n">
        <v>4199</v>
      </c>
      <c r="H197" s="8" t="inlineStr">
        <is>
          <t>Zic x7 10w40 4L Fully Synthetic Engine Oil</t>
        </is>
      </c>
      <c r="I197" s="8" t="inlineStr">
        <is>
          <t>Daraz</t>
        </is>
      </c>
    </row>
    <row r="198" ht="15" customHeight="1">
      <c r="A198" s="11" t="n">
        <v>194</v>
      </c>
      <c r="B198" s="8" t="inlineStr">
        <is>
          <t>ZIC X7</t>
        </is>
      </c>
      <c r="C198" s="8" t="inlineStr">
        <is>
          <t>10W-40</t>
        </is>
      </c>
      <c r="D198" s="12" t="n">
        <v>4</v>
      </c>
      <c r="E198" s="8" t="inlineStr">
        <is>
          <t>PCMO</t>
        </is>
      </c>
      <c r="F198" s="13" t="n">
        <v>1024.75</v>
      </c>
      <c r="G198" s="13" t="n">
        <v>4099</v>
      </c>
      <c r="H198" s="8" t="inlineStr">
        <is>
          <t>@ ZIC X7 10W-40 4 litre best engine oil for cars and all automotives  Synthetic | Crude | Raw</t>
        </is>
      </c>
      <c r="I198" s="8" t="inlineStr">
        <is>
          <t>Daraz</t>
        </is>
      </c>
    </row>
    <row r="199" ht="15" customHeight="1">
      <c r="A199" s="11" t="n">
        <v>195</v>
      </c>
      <c r="B199" s="8" t="inlineStr">
        <is>
          <t>ZIC X7</t>
        </is>
      </c>
      <c r="C199" s="8" t="inlineStr">
        <is>
          <t>10W-40</t>
        </is>
      </c>
      <c r="D199" s="12" t="n">
        <v>4</v>
      </c>
      <c r="E199" s="8" t="inlineStr">
        <is>
          <t>PCMO</t>
        </is>
      </c>
      <c r="F199" s="13" t="n">
        <v>1025</v>
      </c>
      <c r="G199" s="13" t="n">
        <v>4100</v>
      </c>
      <c r="H199" s="8" t="inlineStr">
        <is>
          <t>Zic x7 10w40 4L Fully Synthetic Engine Oil</t>
        </is>
      </c>
      <c r="I199" s="8" t="inlineStr">
        <is>
          <t>Daraz</t>
        </is>
      </c>
    </row>
    <row r="200" ht="15" customHeight="1">
      <c r="A200" s="11" t="n">
        <v>196</v>
      </c>
      <c r="B200" s="8" t="inlineStr">
        <is>
          <t>ZIC X7</t>
        </is>
      </c>
      <c r="C200" s="8" t="inlineStr">
        <is>
          <t>10W-40</t>
        </is>
      </c>
      <c r="D200" s="12" t="n">
        <v>4</v>
      </c>
      <c r="E200" s="8" t="inlineStr">
        <is>
          <t>PCMO</t>
        </is>
      </c>
      <c r="F200" s="13" t="n">
        <v>1625</v>
      </c>
      <c r="G200" s="13" t="n">
        <v>6500</v>
      </c>
      <c r="H200" s="8" t="inlineStr">
        <is>
          <t>ZIC X7 10W-40 (VHVI TECH) 4 Liter .Synthetic Formula Engine oil</t>
        </is>
      </c>
      <c r="I200" s="8" t="inlineStr">
        <is>
          <t>Daraz</t>
        </is>
      </c>
    </row>
    <row r="201" ht="15" customHeight="1">
      <c r="A201" s="11" t="n">
        <v>197</v>
      </c>
      <c r="B201" s="8" t="inlineStr">
        <is>
          <t>ZIC X7</t>
        </is>
      </c>
      <c r="C201" s="8" t="inlineStr">
        <is>
          <t>10W-40</t>
        </is>
      </c>
      <c r="D201" s="12" t="n">
        <v>4</v>
      </c>
      <c r="E201" s="8" t="inlineStr">
        <is>
          <t>PCMO</t>
        </is>
      </c>
      <c r="F201" s="13" t="n">
        <v>940</v>
      </c>
      <c r="G201" s="13" t="n">
        <v>3760</v>
      </c>
      <c r="H201" s="8" t="inlineStr">
        <is>
          <t>Zic x7 10w40 4L Fully Synthetic Engine Oil</t>
        </is>
      </c>
      <c r="I201" s="8" t="inlineStr">
        <is>
          <t>Daraz</t>
        </is>
      </c>
    </row>
    <row r="202" ht="15" customHeight="1">
      <c r="A202" s="11" t="n">
        <v>198</v>
      </c>
      <c r="B202" s="8" t="inlineStr">
        <is>
          <t>ZIC X7</t>
        </is>
      </c>
      <c r="C202" s="8" t="inlineStr">
        <is>
          <t>10W-40</t>
        </is>
      </c>
      <c r="D202" s="12" t="n">
        <v>4</v>
      </c>
      <c r="E202" s="8" t="inlineStr">
        <is>
          <t>PCMO</t>
        </is>
      </c>
      <c r="F202" s="13" t="n">
        <v>1015</v>
      </c>
      <c r="G202" s="13" t="n">
        <v>4060</v>
      </c>
      <c r="H202" s="8" t="inlineStr">
        <is>
          <t>ZIC X7 10W40 VHVI QUALITY OIL 4L</t>
        </is>
      </c>
      <c r="I202" s="8" t="inlineStr">
        <is>
          <t>Daraz</t>
        </is>
      </c>
    </row>
    <row r="203" ht="15" customHeight="1">
      <c r="A203" s="11" t="n">
        <v>199</v>
      </c>
      <c r="B203" s="8" t="inlineStr">
        <is>
          <t>ZIC X7</t>
        </is>
      </c>
      <c r="C203" s="8" t="inlineStr">
        <is>
          <t>10W-40</t>
        </is>
      </c>
      <c r="D203" s="12" t="n">
        <v>4</v>
      </c>
      <c r="E203" s="8" t="inlineStr">
        <is>
          <t>PCMO</t>
        </is>
      </c>
      <c r="F203" s="13" t="n">
        <v>1122.5</v>
      </c>
      <c r="G203" s="13" t="n">
        <v>4490</v>
      </c>
      <c r="H203" s="8" t="inlineStr">
        <is>
          <t>ZIC X7 10W-40 (VHVI TECH) 4 LITRE</t>
        </is>
      </c>
      <c r="I203" s="8" t="inlineStr">
        <is>
          <t>Daraz</t>
        </is>
      </c>
    </row>
    <row r="204" ht="15" customHeight="1">
      <c r="A204" s="11" t="n">
        <v>200</v>
      </c>
      <c r="B204" s="8" t="inlineStr">
        <is>
          <t>ZIC X7</t>
        </is>
      </c>
      <c r="C204" s="8" t="inlineStr">
        <is>
          <t>10W-40</t>
        </is>
      </c>
      <c r="D204" s="12" t="n">
        <v>4</v>
      </c>
      <c r="E204" s="8" t="inlineStr">
        <is>
          <t>PCMO</t>
        </is>
      </c>
      <c r="F204" s="13" t="n">
        <v>990</v>
      </c>
      <c r="G204" s="13" t="n">
        <v>3960</v>
      </c>
      <c r="H204" s="8" t="inlineStr">
        <is>
          <t>ZIC X7 10W-40 4L</t>
        </is>
      </c>
      <c r="I204" s="8" t="inlineStr">
        <is>
          <t>Daraz</t>
        </is>
      </c>
    </row>
    <row r="205" ht="15" customHeight="1">
      <c r="A205" s="11" t="n">
        <v>201</v>
      </c>
      <c r="B205" s="8" t="inlineStr">
        <is>
          <t>ZIC X7</t>
        </is>
      </c>
      <c r="C205" s="8" t="inlineStr">
        <is>
          <t>10W-40</t>
        </is>
      </c>
      <c r="D205" s="12" t="n">
        <v>4</v>
      </c>
      <c r="E205" s="8" t="inlineStr">
        <is>
          <t>PCMO</t>
        </is>
      </c>
      <c r="F205" s="13" t="n">
        <v>1625</v>
      </c>
      <c r="G205" s="13" t="n">
        <v>6500</v>
      </c>
      <c r="H205" s="8" t="inlineStr">
        <is>
          <t>ZIC X7 10W-40 (VHVI TECH) 4 Liter .Synthetic Formula Engine oil</t>
        </is>
      </c>
      <c r="I205" s="8" t="inlineStr">
        <is>
          <t>Daraz</t>
        </is>
      </c>
    </row>
    <row r="206" ht="15" customHeight="1">
      <c r="A206" s="11" t="n">
        <v>202</v>
      </c>
      <c r="B206" s="8" t="inlineStr">
        <is>
          <t>ZIC X7</t>
        </is>
      </c>
      <c r="C206" s="8" t="inlineStr">
        <is>
          <t>10W-40</t>
        </is>
      </c>
      <c r="D206" s="12" t="n">
        <v>4</v>
      </c>
      <c r="E206" s="8" t="inlineStr">
        <is>
          <t>PCMO</t>
        </is>
      </c>
      <c r="F206" s="13" t="n">
        <v>1625</v>
      </c>
      <c r="G206" s="13" t="n">
        <v>6500</v>
      </c>
      <c r="H206" s="8" t="inlineStr">
        <is>
          <t>ZIC X7 10W-40 (VHVI TECH) 4 Liter .Synthetic Formula Engine oil</t>
        </is>
      </c>
      <c r="I206" s="8" t="inlineStr">
        <is>
          <t>Daraz</t>
        </is>
      </c>
    </row>
    <row r="207" ht="15" customHeight="1">
      <c r="A207" s="11" t="n">
        <v>203</v>
      </c>
      <c r="B207" s="8" t="inlineStr">
        <is>
          <t>ZIC</t>
        </is>
      </c>
      <c r="C207" s="8" t="inlineStr">
        <is>
          <t>15W-40</t>
        </is>
      </c>
      <c r="D207" s="12" t="n">
        <v>4</v>
      </c>
      <c r="E207" s="8" t="inlineStr">
        <is>
          <t>PCMO</t>
        </is>
      </c>
      <c r="F207" s="13" t="n">
        <v>1375</v>
      </c>
      <c r="G207" s="13" t="n">
        <v>5500</v>
      </c>
      <c r="H207" s="8" t="inlineStr">
        <is>
          <t>Zic X5000 15W40 4L</t>
        </is>
      </c>
      <c r="I207" s="8" t="inlineStr">
        <is>
          <t>Daraz</t>
        </is>
      </c>
    </row>
    <row r="208" ht="15" customHeight="1">
      <c r="A208" s="11" t="n">
        <v>204</v>
      </c>
      <c r="B208" s="8" t="inlineStr">
        <is>
          <t>ZIC</t>
        </is>
      </c>
      <c r="C208" s="8" t="inlineStr">
        <is>
          <t>15W-40</t>
        </is>
      </c>
      <c r="D208" s="12" t="n">
        <v>4</v>
      </c>
      <c r="E208" s="8" t="inlineStr">
        <is>
          <t>PCMO</t>
        </is>
      </c>
      <c r="F208" s="13" t="n">
        <v>1375</v>
      </c>
      <c r="G208" s="13" t="n">
        <v>5500</v>
      </c>
      <c r="H208" s="8" t="inlineStr">
        <is>
          <t>Zic X5000 15W40 4L</t>
        </is>
      </c>
      <c r="I208" s="8" t="inlineStr">
        <is>
          <t>Daraz</t>
        </is>
      </c>
    </row>
    <row r="209" ht="15" customHeight="1">
      <c r="A209" s="11" t="n">
        <v>205</v>
      </c>
      <c r="B209" s="8" t="inlineStr">
        <is>
          <t>ZIC</t>
        </is>
      </c>
      <c r="C209" s="8" t="inlineStr">
        <is>
          <t>15W-40</t>
        </is>
      </c>
      <c r="D209" s="12" t="n">
        <v>4</v>
      </c>
      <c r="E209" s="8" t="inlineStr">
        <is>
          <t>PCMO</t>
        </is>
      </c>
      <c r="F209" s="13" t="n">
        <v>1375</v>
      </c>
      <c r="G209" s="13" t="n">
        <v>5500</v>
      </c>
      <c r="H209" s="8" t="inlineStr">
        <is>
          <t>Zic X5000 15W40 4L</t>
        </is>
      </c>
      <c r="I209" s="8" t="inlineStr">
        <is>
          <t>Daraz</t>
        </is>
      </c>
    </row>
    <row r="210" ht="15" customHeight="1">
      <c r="A210" s="11" t="n">
        <v>206</v>
      </c>
      <c r="B210" s="8" t="inlineStr">
        <is>
          <t>ZIC</t>
        </is>
      </c>
      <c r="C210" s="8" t="inlineStr">
        <is>
          <t>15W-40</t>
        </is>
      </c>
      <c r="D210" s="12" t="n">
        <v>4</v>
      </c>
      <c r="E210" s="8" t="inlineStr">
        <is>
          <t>PCMO</t>
        </is>
      </c>
      <c r="F210" s="13" t="n">
        <v>1375</v>
      </c>
      <c r="G210" s="13" t="n">
        <v>5500</v>
      </c>
      <c r="H210" s="8" t="inlineStr">
        <is>
          <t>Zic X5000 15W40 4L</t>
        </is>
      </c>
      <c r="I210" s="8" t="inlineStr">
        <is>
          <t>Daraz</t>
        </is>
      </c>
    </row>
    <row r="211" ht="15" customHeight="1">
      <c r="A211" s="11" t="n">
        <v>207</v>
      </c>
      <c r="B211" s="8" t="inlineStr">
        <is>
          <t>ZIC</t>
        </is>
      </c>
      <c r="C211" s="8" t="inlineStr">
        <is>
          <t>15W-40</t>
        </is>
      </c>
      <c r="D211" s="12" t="n">
        <v>4</v>
      </c>
      <c r="E211" s="8" t="inlineStr">
        <is>
          <t>PCMO</t>
        </is>
      </c>
      <c r="F211" s="13" t="n">
        <v>1375</v>
      </c>
      <c r="G211" s="13" t="n">
        <v>5500</v>
      </c>
      <c r="H211" s="8" t="inlineStr">
        <is>
          <t>Zic X5000 15W40 4L</t>
        </is>
      </c>
      <c r="I211" s="8" t="inlineStr">
        <is>
          <t>Daraz</t>
        </is>
      </c>
    </row>
    <row r="212" ht="15" customHeight="1">
      <c r="A212" s="11" t="n">
        <v>208</v>
      </c>
      <c r="B212" s="8" t="inlineStr">
        <is>
          <t>ZIC</t>
        </is>
      </c>
      <c r="C212" s="8" t="inlineStr">
        <is>
          <t>15W-40</t>
        </is>
      </c>
      <c r="D212" s="12" t="n">
        <v>4</v>
      </c>
      <c r="E212" s="8" t="inlineStr">
        <is>
          <t>PCMO</t>
        </is>
      </c>
      <c r="F212" s="13" t="n">
        <v>1375</v>
      </c>
      <c r="G212" s="13" t="n">
        <v>5500</v>
      </c>
      <c r="H212" s="8" t="inlineStr">
        <is>
          <t>Zic X5000 15W40 4L</t>
        </is>
      </c>
      <c r="I212" s="8" t="inlineStr">
        <is>
          <t>Daraz</t>
        </is>
      </c>
    </row>
    <row r="213" ht="15" customHeight="1">
      <c r="A213" s="11" t="n">
        <v>209</v>
      </c>
      <c r="B213" s="8" t="inlineStr">
        <is>
          <t>Kixx</t>
        </is>
      </c>
      <c r="C213" s="8" t="inlineStr">
        <is>
          <t>20W-50</t>
        </is>
      </c>
      <c r="D213" s="12" t="n">
        <v>4</v>
      </c>
      <c r="E213" s="8" t="inlineStr">
        <is>
          <t>PCMO</t>
        </is>
      </c>
      <c r="F213" s="13" t="n">
        <v>1875</v>
      </c>
      <c r="G213" s="13" t="n">
        <v>7500</v>
      </c>
      <c r="H213" s="8" t="inlineStr">
        <is>
          <t>KIXX G 20W-50 ( 4 LITRE)</t>
        </is>
      </c>
      <c r="I213" s="8" t="inlineStr">
        <is>
          <t>Daraz</t>
        </is>
      </c>
    </row>
    <row r="214" ht="15" customHeight="1">
      <c r="A214" s="11" t="n">
        <v>210</v>
      </c>
      <c r="B214" s="8" t="inlineStr">
        <is>
          <t>Kixx</t>
        </is>
      </c>
      <c r="C214" s="8" t="inlineStr">
        <is>
          <t>20W-50</t>
        </is>
      </c>
      <c r="D214" s="12" t="n">
        <v>4</v>
      </c>
      <c r="E214" s="8" t="inlineStr">
        <is>
          <t>PCMO</t>
        </is>
      </c>
      <c r="F214" s="13" t="n">
        <v>1500</v>
      </c>
      <c r="G214" s="13" t="n">
        <v>6000</v>
      </c>
      <c r="H214" s="8" t="inlineStr">
        <is>
          <t>kixx G 20w50 4L</t>
        </is>
      </c>
      <c r="I214" s="8" t="inlineStr">
        <is>
          <t>Daraz</t>
        </is>
      </c>
    </row>
    <row r="215" ht="15" customHeight="1">
      <c r="A215" s="11" t="n">
        <v>211</v>
      </c>
      <c r="B215" s="8" t="inlineStr">
        <is>
          <t>Kixx G1</t>
        </is>
      </c>
      <c r="C215" s="8" t="inlineStr">
        <is>
          <t>20W-50</t>
        </is>
      </c>
      <c r="D215" s="12" t="n">
        <v>3</v>
      </c>
      <c r="E215" s="8" t="inlineStr">
        <is>
          <t>PCMO</t>
        </is>
      </c>
      <c r="F215" s="13" t="n">
        <v>927.2</v>
      </c>
      <c r="G215" s="13" t="n">
        <v>2781.6</v>
      </c>
      <c r="H215" s="8" t="inlineStr">
        <is>
          <t>KIXX G1 20w50 3L API SP</t>
        </is>
      </c>
      <c r="I215" s="8" t="inlineStr">
        <is>
          <t>Daraz</t>
        </is>
      </c>
    </row>
    <row r="216" ht="15" customHeight="1">
      <c r="A216" s="11" t="n">
        <v>212</v>
      </c>
      <c r="B216" s="8" t="inlineStr">
        <is>
          <t>Kixx G1</t>
        </is>
      </c>
      <c r="C216" s="8" t="inlineStr">
        <is>
          <t>20W-50</t>
        </is>
      </c>
      <c r="D216" s="12" t="n">
        <v>3</v>
      </c>
      <c r="E216" s="8" t="inlineStr">
        <is>
          <t>PCMO</t>
        </is>
      </c>
      <c r="F216" s="13" t="n">
        <v>933.33</v>
      </c>
      <c r="G216" s="13" t="n">
        <v>2800</v>
      </c>
      <c r="H216" s="8" t="inlineStr">
        <is>
          <t>KIXX G1 SP 20W-50 ( Petrol Engine Oil ) - 3 liter</t>
        </is>
      </c>
      <c r="I216" s="8" t="inlineStr">
        <is>
          <t>Daraz</t>
        </is>
      </c>
    </row>
    <row r="217" ht="15" customHeight="1">
      <c r="A217" s="11" t="n">
        <v>213</v>
      </c>
      <c r="B217" s="8" t="inlineStr">
        <is>
          <t>Kixx G1</t>
        </is>
      </c>
      <c r="C217" s="8" t="inlineStr">
        <is>
          <t>20W-50</t>
        </is>
      </c>
      <c r="D217" s="12" t="n">
        <v>3</v>
      </c>
      <c r="E217" s="8" t="inlineStr">
        <is>
          <t>PCMO</t>
        </is>
      </c>
      <c r="F217" s="13" t="n">
        <v>1066.67</v>
      </c>
      <c r="G217" s="13" t="n">
        <v>3200</v>
      </c>
      <c r="H217" s="8" t="inlineStr">
        <is>
          <t>KIXX g1 20w-50 3Liter Best pure oil</t>
        </is>
      </c>
      <c r="I217" s="8" t="inlineStr">
        <is>
          <t>Daraz</t>
        </is>
      </c>
    </row>
    <row r="218" ht="15" customHeight="1">
      <c r="A218" s="11" t="n">
        <v>214</v>
      </c>
      <c r="B218" s="8" t="inlineStr">
        <is>
          <t>Kixx G1</t>
        </is>
      </c>
      <c r="C218" s="8" t="inlineStr">
        <is>
          <t>20W-50</t>
        </is>
      </c>
      <c r="D218" s="12" t="n">
        <v>3</v>
      </c>
      <c r="E218" s="8" t="inlineStr">
        <is>
          <t>PCMO</t>
        </is>
      </c>
      <c r="F218" s="13" t="n">
        <v>1666.67</v>
      </c>
      <c r="G218" s="13" t="n">
        <v>5000</v>
      </c>
      <c r="H218" s="8" t="inlineStr">
        <is>
          <t>kixx G1 20w50 3L</t>
        </is>
      </c>
      <c r="I218" s="8" t="inlineStr">
        <is>
          <t>Daraz</t>
        </is>
      </c>
    </row>
    <row r="219" ht="15" customHeight="1">
      <c r="A219" s="11" t="n">
        <v>215</v>
      </c>
      <c r="B219" s="8" t="inlineStr">
        <is>
          <t>Kixx G1</t>
        </is>
      </c>
      <c r="C219" s="8" t="inlineStr">
        <is>
          <t>20W-50</t>
        </is>
      </c>
      <c r="D219" s="12" t="n">
        <v>3</v>
      </c>
      <c r="E219" s="8" t="inlineStr">
        <is>
          <t>PCMO</t>
        </is>
      </c>
      <c r="F219" s="13" t="n">
        <v>1333</v>
      </c>
      <c r="G219" s="13" t="n">
        <v>3999</v>
      </c>
      <c r="H219" s="8" t="inlineStr">
        <is>
          <t>KIXX g1 20w-50 3Liter</t>
        </is>
      </c>
      <c r="I219" s="8" t="inlineStr">
        <is>
          <t>Daraz</t>
        </is>
      </c>
    </row>
    <row r="220" ht="15" customHeight="1">
      <c r="A220" s="11" t="n">
        <v>216</v>
      </c>
      <c r="B220" s="8" t="inlineStr">
        <is>
          <t>Kixx G1</t>
        </is>
      </c>
      <c r="C220" s="8" t="inlineStr">
        <is>
          <t>20W-50</t>
        </is>
      </c>
      <c r="D220" s="12" t="n">
        <v>3</v>
      </c>
      <c r="E220" s="8" t="inlineStr">
        <is>
          <t>PCMO</t>
        </is>
      </c>
      <c r="F220" s="13" t="n">
        <v>1333</v>
      </c>
      <c r="G220" s="13" t="n">
        <v>3999</v>
      </c>
      <c r="H220" s="8" t="inlineStr">
        <is>
          <t>KIXX g1 20w-50 3Liter</t>
        </is>
      </c>
      <c r="I220" s="8" t="inlineStr">
        <is>
          <t>Daraz</t>
        </is>
      </c>
    </row>
    <row r="221" ht="15" customHeight="1">
      <c r="A221" s="11" t="n">
        <v>217</v>
      </c>
      <c r="B221" s="8" t="inlineStr">
        <is>
          <t>Kixx G1</t>
        </is>
      </c>
      <c r="C221" s="8" t="inlineStr">
        <is>
          <t>20W-50</t>
        </is>
      </c>
      <c r="D221" s="12" t="n">
        <v>3</v>
      </c>
      <c r="E221" s="8" t="inlineStr">
        <is>
          <t>PCMO</t>
        </is>
      </c>
      <c r="F221" s="13" t="n">
        <v>1666.67</v>
      </c>
      <c r="G221" s="13" t="n">
        <v>5000</v>
      </c>
      <c r="H221" s="8" t="inlineStr">
        <is>
          <t>kixx G1 20w50 3L</t>
        </is>
      </c>
      <c r="I221" s="8" t="inlineStr">
        <is>
          <t>Daraz</t>
        </is>
      </c>
    </row>
    <row r="222" ht="15" customHeight="1">
      <c r="A222" s="11" t="n">
        <v>218</v>
      </c>
      <c r="B222" s="8" t="inlineStr">
        <is>
          <t>Kixx G1</t>
        </is>
      </c>
      <c r="C222" s="8" t="inlineStr">
        <is>
          <t>20W-50</t>
        </is>
      </c>
      <c r="D222" s="12" t="n">
        <v>3</v>
      </c>
      <c r="E222" s="8" t="inlineStr">
        <is>
          <t>PCMO</t>
        </is>
      </c>
      <c r="F222" s="13" t="n">
        <v>927.2</v>
      </c>
      <c r="G222" s="13" t="n">
        <v>2781.6</v>
      </c>
      <c r="H222" s="8" t="inlineStr">
        <is>
          <t>KIXX G1 20w50 3L API SP</t>
        </is>
      </c>
      <c r="I222" s="8" t="inlineStr">
        <is>
          <t>Daraz</t>
        </is>
      </c>
    </row>
    <row r="223" ht="15" customHeight="1">
      <c r="A223" s="11" t="n">
        <v>219</v>
      </c>
      <c r="B223" s="8" t="inlineStr">
        <is>
          <t>Kixx G1</t>
        </is>
      </c>
      <c r="C223" s="8" t="inlineStr">
        <is>
          <t>20W-50</t>
        </is>
      </c>
      <c r="D223" s="12" t="n">
        <v>3</v>
      </c>
      <c r="E223" s="8" t="inlineStr">
        <is>
          <t>PCMO</t>
        </is>
      </c>
      <c r="F223" s="13" t="n">
        <v>1066.67</v>
      </c>
      <c r="G223" s="13" t="n">
        <v>3200</v>
      </c>
      <c r="H223" s="8" t="inlineStr">
        <is>
          <t>KIXX g1 20w-50 3Liter Best pure oil</t>
        </is>
      </c>
      <c r="I223" s="8" t="inlineStr">
        <is>
          <t>Daraz</t>
        </is>
      </c>
    </row>
    <row r="224" ht="15" customHeight="1">
      <c r="A224" s="11" t="n">
        <v>220</v>
      </c>
      <c r="B224" s="8" t="inlineStr">
        <is>
          <t>Kixx G1</t>
        </is>
      </c>
      <c r="C224" s="8" t="inlineStr">
        <is>
          <t>20W-50</t>
        </is>
      </c>
      <c r="D224" s="12" t="n">
        <v>3</v>
      </c>
      <c r="E224" s="8" t="inlineStr">
        <is>
          <t>PCMO</t>
        </is>
      </c>
      <c r="F224" s="13" t="n">
        <v>933.33</v>
      </c>
      <c r="G224" s="13" t="n">
        <v>2800</v>
      </c>
      <c r="H224" s="8" t="inlineStr">
        <is>
          <t>KIXX G1 SP 20W-50 ( Petrol Engine Oil ) - 3 liter</t>
        </is>
      </c>
      <c r="I224" s="8" t="inlineStr">
        <is>
          <t>Daraz</t>
        </is>
      </c>
    </row>
    <row r="225" ht="15" customHeight="1">
      <c r="A225" s="11" t="n">
        <v>221</v>
      </c>
      <c r="B225" s="8" t="inlineStr">
        <is>
          <t>Kixx G1</t>
        </is>
      </c>
      <c r="C225" s="8" t="inlineStr">
        <is>
          <t>20W-50</t>
        </is>
      </c>
      <c r="D225" s="12" t="n">
        <v>3</v>
      </c>
      <c r="E225" s="8" t="inlineStr">
        <is>
          <t>PCMO</t>
        </is>
      </c>
      <c r="F225" s="13" t="n">
        <v>927.2</v>
      </c>
      <c r="G225" s="13" t="n">
        <v>2781.6</v>
      </c>
      <c r="H225" s="8" t="inlineStr">
        <is>
          <t>KIXX G1 20w50 3L API SP</t>
        </is>
      </c>
      <c r="I225" s="8" t="inlineStr">
        <is>
          <t>Daraz</t>
        </is>
      </c>
    </row>
    <row r="226" ht="15" customHeight="1">
      <c r="A226" s="11" t="n">
        <v>222</v>
      </c>
      <c r="B226" s="8" t="inlineStr">
        <is>
          <t>Kixx G1</t>
        </is>
      </c>
      <c r="C226" s="8" t="inlineStr">
        <is>
          <t>20W-50</t>
        </is>
      </c>
      <c r="D226" s="12" t="n">
        <v>3</v>
      </c>
      <c r="E226" s="8" t="inlineStr">
        <is>
          <t>PCMO</t>
        </is>
      </c>
      <c r="F226" s="13" t="n">
        <v>1333</v>
      </c>
      <c r="G226" s="13" t="n">
        <v>3999</v>
      </c>
      <c r="H226" s="8" t="inlineStr">
        <is>
          <t>KIXX g1 20w-50 3Liter</t>
        </is>
      </c>
      <c r="I226" s="8" t="inlineStr">
        <is>
          <t>Daraz</t>
        </is>
      </c>
    </row>
    <row r="227" ht="15" customHeight="1">
      <c r="A227" s="11" t="n">
        <v>223</v>
      </c>
      <c r="B227" s="8" t="inlineStr">
        <is>
          <t>Kixx G1</t>
        </is>
      </c>
      <c r="C227" s="8" t="inlineStr">
        <is>
          <t>20W-50</t>
        </is>
      </c>
      <c r="D227" s="12" t="n">
        <v>3</v>
      </c>
      <c r="E227" s="8" t="inlineStr">
        <is>
          <t>PCMO</t>
        </is>
      </c>
      <c r="F227" s="13" t="n">
        <v>1666.67</v>
      </c>
      <c r="G227" s="13" t="n">
        <v>5000</v>
      </c>
      <c r="H227" s="8" t="inlineStr">
        <is>
          <t>kixx G1 20w50 3L</t>
        </is>
      </c>
      <c r="I227" s="8" t="inlineStr">
        <is>
          <t>Daraz</t>
        </is>
      </c>
    </row>
    <row r="228" ht="15" customHeight="1">
      <c r="A228" s="11" t="n">
        <v>224</v>
      </c>
      <c r="B228" s="8" t="inlineStr">
        <is>
          <t>Kixx G1</t>
        </is>
      </c>
      <c r="C228" s="8" t="inlineStr">
        <is>
          <t>20W-50</t>
        </is>
      </c>
      <c r="D228" s="12" t="n">
        <v>3</v>
      </c>
      <c r="E228" s="8" t="inlineStr">
        <is>
          <t>PCMO</t>
        </is>
      </c>
      <c r="F228" s="13" t="n">
        <v>927.2</v>
      </c>
      <c r="G228" s="13" t="n">
        <v>2781.6</v>
      </c>
      <c r="H228" s="8" t="inlineStr">
        <is>
          <t>KIXX G1 20w50 3L API SP</t>
        </is>
      </c>
      <c r="I228" s="8" t="inlineStr">
        <is>
          <t>Daraz</t>
        </is>
      </c>
    </row>
    <row r="229" ht="15" customHeight="1">
      <c r="A229" s="11" t="n">
        <v>225</v>
      </c>
      <c r="B229" s="8" t="inlineStr">
        <is>
          <t>Kixx G1</t>
        </is>
      </c>
      <c r="C229" s="8" t="inlineStr">
        <is>
          <t>20W-50</t>
        </is>
      </c>
      <c r="D229" s="12" t="n">
        <v>3</v>
      </c>
      <c r="E229" s="8" t="inlineStr">
        <is>
          <t>PCMO</t>
        </is>
      </c>
      <c r="F229" s="13" t="n">
        <v>933.33</v>
      </c>
      <c r="G229" s="13" t="n">
        <v>2800</v>
      </c>
      <c r="H229" s="8" t="inlineStr">
        <is>
          <t>KIXX G1 SP 20W-50 ( Petrol Engine Oil ) - 3 liter</t>
        </is>
      </c>
      <c r="I229" s="8" t="inlineStr">
        <is>
          <t>Daraz</t>
        </is>
      </c>
    </row>
    <row r="230" ht="15" customHeight="1">
      <c r="A230" s="11" t="n">
        <v>226</v>
      </c>
      <c r="B230" s="8" t="inlineStr">
        <is>
          <t>Kixx G1</t>
        </is>
      </c>
      <c r="C230" s="8" t="inlineStr">
        <is>
          <t>20W-50</t>
        </is>
      </c>
      <c r="D230" s="12" t="n">
        <v>4</v>
      </c>
      <c r="E230" s="8" t="inlineStr">
        <is>
          <t>PCMO</t>
        </is>
      </c>
      <c r="F230" s="13" t="n">
        <v>912.5</v>
      </c>
      <c r="G230" s="13" t="n">
        <v>3650</v>
      </c>
      <c r="H230" s="8" t="inlineStr">
        <is>
          <t>KIXX G1 20W-50 4L API SF</t>
        </is>
      </c>
      <c r="I230" s="8" t="inlineStr">
        <is>
          <t>Daraz</t>
        </is>
      </c>
    </row>
    <row r="231" ht="15" customHeight="1">
      <c r="A231" s="11" t="n">
        <v>227</v>
      </c>
      <c r="B231" s="8" t="inlineStr">
        <is>
          <t>Kixx G1</t>
        </is>
      </c>
      <c r="C231" s="8" t="inlineStr">
        <is>
          <t>20W-50</t>
        </is>
      </c>
      <c r="D231" s="12" t="n">
        <v>4</v>
      </c>
      <c r="E231" s="8" t="inlineStr">
        <is>
          <t>PCMO</t>
        </is>
      </c>
      <c r="F231" s="13" t="n">
        <v>950</v>
      </c>
      <c r="G231" s="13" t="n">
        <v>3800</v>
      </c>
      <c r="H231" s="8" t="inlineStr">
        <is>
          <t>KIXX G1 20W-50 4L API SF</t>
        </is>
      </c>
      <c r="I231" s="8" t="inlineStr">
        <is>
          <t>Daraz</t>
        </is>
      </c>
    </row>
    <row r="232" ht="15" customHeight="1">
      <c r="A232" s="11" t="n">
        <v>228</v>
      </c>
      <c r="B232" s="8" t="inlineStr">
        <is>
          <t>Kixx G1</t>
        </is>
      </c>
      <c r="C232" s="8" t="inlineStr">
        <is>
          <t>20W-50</t>
        </is>
      </c>
      <c r="D232" s="12" t="n">
        <v>4</v>
      </c>
      <c r="E232" s="8" t="inlineStr">
        <is>
          <t>PCMO</t>
        </is>
      </c>
      <c r="F232" s="13" t="n">
        <v>912.5</v>
      </c>
      <c r="G232" s="13" t="n">
        <v>3650</v>
      </c>
      <c r="H232" s="8" t="inlineStr">
        <is>
          <t>KIXX G1 20W-50 4L API SF</t>
        </is>
      </c>
      <c r="I232" s="8" t="inlineStr">
        <is>
          <t>Daraz</t>
        </is>
      </c>
    </row>
    <row r="233" ht="15" customHeight="1">
      <c r="A233" s="11" t="n">
        <v>229</v>
      </c>
      <c r="B233" s="8" t="inlineStr">
        <is>
          <t>Kixx G1</t>
        </is>
      </c>
      <c r="C233" s="8" t="inlineStr">
        <is>
          <t>20W-50</t>
        </is>
      </c>
      <c r="D233" s="12" t="n">
        <v>4</v>
      </c>
      <c r="E233" s="8" t="inlineStr">
        <is>
          <t>PCMO</t>
        </is>
      </c>
      <c r="F233" s="13" t="n">
        <v>950</v>
      </c>
      <c r="G233" s="13" t="n">
        <v>3800</v>
      </c>
      <c r="H233" s="8" t="inlineStr">
        <is>
          <t>KIXX G1 20W-50 4L API SF</t>
        </is>
      </c>
      <c r="I233" s="8" t="inlineStr">
        <is>
          <t>Daraz</t>
        </is>
      </c>
    </row>
    <row r="234" ht="15" customHeight="1">
      <c r="A234" s="11" t="n">
        <v>230</v>
      </c>
      <c r="B234" s="8" t="inlineStr">
        <is>
          <t>Kixx G1</t>
        </is>
      </c>
      <c r="C234" s="8" t="inlineStr">
        <is>
          <t>20W-50</t>
        </is>
      </c>
      <c r="D234" s="12" t="n">
        <v>4</v>
      </c>
      <c r="E234" s="8" t="inlineStr">
        <is>
          <t>PCMO</t>
        </is>
      </c>
      <c r="F234" s="13" t="n">
        <v>1250</v>
      </c>
      <c r="G234" s="13" t="n">
        <v>5000</v>
      </c>
      <c r="H234" s="8" t="inlineStr">
        <is>
          <t>KIXX G1 20W50 (4Ltr) API SN PLUS SEMI SYNTHETIC Top Quality Gasoline (Genuine Engine Oil/ Car Oil)</t>
        </is>
      </c>
      <c r="I234" s="8" t="inlineStr">
        <is>
          <t>Daraz</t>
        </is>
      </c>
    </row>
    <row r="235" ht="15" customHeight="1">
      <c r="A235" s="11" t="n">
        <v>231</v>
      </c>
      <c r="B235" s="8" t="inlineStr">
        <is>
          <t>Kixx G1</t>
        </is>
      </c>
      <c r="C235" s="8" t="inlineStr">
        <is>
          <t>20W-50</t>
        </is>
      </c>
      <c r="D235" s="12" t="n">
        <v>4</v>
      </c>
      <c r="E235" s="8" t="inlineStr">
        <is>
          <t>PCMO</t>
        </is>
      </c>
      <c r="F235" s="13" t="n">
        <v>2125</v>
      </c>
      <c r="G235" s="13" t="n">
        <v>8500</v>
      </c>
      <c r="H235" s="8" t="inlineStr">
        <is>
          <t>Engine Oil Kixx G1 20w50 4Ltr.</t>
        </is>
      </c>
      <c r="I235" s="8" t="inlineStr">
        <is>
          <t>Daraz</t>
        </is>
      </c>
    </row>
    <row r="236" ht="15" customHeight="1">
      <c r="A236" s="11" t="n">
        <v>232</v>
      </c>
      <c r="B236" s="8" t="inlineStr">
        <is>
          <t>Kixx G1</t>
        </is>
      </c>
      <c r="C236" s="8" t="inlineStr">
        <is>
          <t>20W-50</t>
        </is>
      </c>
      <c r="D236" s="12" t="n">
        <v>4</v>
      </c>
      <c r="E236" s="8" t="inlineStr">
        <is>
          <t>PCMO</t>
        </is>
      </c>
      <c r="F236" s="13" t="n">
        <v>912.5</v>
      </c>
      <c r="G236" s="13" t="n">
        <v>3650</v>
      </c>
      <c r="H236" s="8" t="inlineStr">
        <is>
          <t>KIXX G1 20W-50 4L API SF</t>
        </is>
      </c>
      <c r="I236" s="8" t="inlineStr">
        <is>
          <t>Daraz</t>
        </is>
      </c>
    </row>
    <row r="237" ht="15" customHeight="1">
      <c r="A237" s="11" t="n">
        <v>233</v>
      </c>
      <c r="B237" s="8" t="inlineStr">
        <is>
          <t>Kixx G1</t>
        </is>
      </c>
      <c r="C237" s="8" t="inlineStr">
        <is>
          <t>20W-50</t>
        </is>
      </c>
      <c r="D237" s="12" t="n">
        <v>4</v>
      </c>
      <c r="E237" s="8" t="inlineStr">
        <is>
          <t>PCMO</t>
        </is>
      </c>
      <c r="F237" s="13" t="n">
        <v>950</v>
      </c>
      <c r="G237" s="13" t="n">
        <v>3800</v>
      </c>
      <c r="H237" s="8" t="inlineStr">
        <is>
          <t>KIXX G1 20W-50 4L API SF</t>
        </is>
      </c>
      <c r="I237" s="8" t="inlineStr">
        <is>
          <t>Daraz</t>
        </is>
      </c>
    </row>
    <row r="238" ht="15" customHeight="1">
      <c r="A238" s="11" t="n">
        <v>234</v>
      </c>
      <c r="B238" s="8" t="inlineStr">
        <is>
          <t>Kixx G1</t>
        </is>
      </c>
      <c r="C238" s="8" t="inlineStr">
        <is>
          <t>20W-50</t>
        </is>
      </c>
      <c r="D238" s="12" t="n">
        <v>4</v>
      </c>
      <c r="E238" s="8" t="inlineStr">
        <is>
          <t>PCMO</t>
        </is>
      </c>
      <c r="F238" s="13" t="n">
        <v>912.5</v>
      </c>
      <c r="G238" s="13" t="n">
        <v>3650</v>
      </c>
      <c r="H238" s="8" t="inlineStr">
        <is>
          <t>KIXX G1 20W-50 4L API SF</t>
        </is>
      </c>
      <c r="I238" s="8" t="inlineStr">
        <is>
          <t>Daraz</t>
        </is>
      </c>
    </row>
    <row r="239" ht="15" customHeight="1">
      <c r="A239" s="14" t="n">
        <v>235</v>
      </c>
      <c r="B239" s="15" t="inlineStr">
        <is>
          <t>PSO Carient Plus</t>
        </is>
      </c>
      <c r="C239" s="15" t="inlineStr">
        <is>
          <t>20W-50</t>
        </is>
      </c>
      <c r="D239" s="16" t="n">
        <v>3</v>
      </c>
      <c r="E239" s="15" t="inlineStr">
        <is>
          <t>PCMO</t>
        </is>
      </c>
      <c r="F239" s="17" t="n">
        <v>1183.33</v>
      </c>
      <c r="G239" s="17" t="n">
        <v>3550</v>
      </c>
      <c r="H239" s="15" t="inlineStr">
        <is>
          <t>PSO Carient Plus 20W-50 Petrol Engine Oil 3L .The oil is blended with high-quality</t>
        </is>
      </c>
      <c r="I239" s="15" t="inlineStr">
        <is>
          <t>Daraz</t>
        </is>
      </c>
    </row>
    <row r="240" ht="15" customHeight="1">
      <c r="A240" s="14" t="n">
        <v>236</v>
      </c>
      <c r="B240" s="15" t="inlineStr">
        <is>
          <t>PSO Carient Plus</t>
        </is>
      </c>
      <c r="C240" s="15" t="inlineStr">
        <is>
          <t>20W-50</t>
        </is>
      </c>
      <c r="D240" s="16" t="n">
        <v>3</v>
      </c>
      <c r="E240" s="15" t="inlineStr">
        <is>
          <t>PCMO</t>
        </is>
      </c>
      <c r="F240" s="17" t="n">
        <v>1183.33</v>
      </c>
      <c r="G240" s="17" t="n">
        <v>3550</v>
      </c>
      <c r="H240" s="15" t="inlineStr">
        <is>
          <t>PSO Carient Plus 20W-50 Petrol Engine Oil 3L .The oil is blended with high-quality</t>
        </is>
      </c>
      <c r="I240" s="15" t="inlineStr">
        <is>
          <t>Daraz</t>
        </is>
      </c>
    </row>
    <row r="241" ht="15" customHeight="1">
      <c r="A241" s="11" t="n">
        <v>237</v>
      </c>
      <c r="B241" s="8" t="inlineStr">
        <is>
          <t>Shell</t>
        </is>
      </c>
      <c r="C241" s="8" t="inlineStr">
        <is>
          <t>20W-50</t>
        </is>
      </c>
      <c r="D241" s="12" t="n">
        <v>4</v>
      </c>
      <c r="E241" s="8" t="inlineStr">
        <is>
          <t>PCMO</t>
        </is>
      </c>
      <c r="F241" s="13" t="n">
        <v>1138.75</v>
      </c>
      <c r="G241" s="13" t="n">
        <v>4555</v>
      </c>
      <c r="H241" s="8" t="inlineStr">
        <is>
          <t>Shell Helix (HX3 20W-50) 4L, Multi-grade Motor Oil, Gasoline Engine Oil, Car Oil</t>
        </is>
      </c>
      <c r="I241" s="8" t="inlineStr">
        <is>
          <t>Daraz</t>
        </is>
      </c>
    </row>
    <row r="242" ht="15" customHeight="1">
      <c r="A242" s="11" t="n">
        <v>238</v>
      </c>
      <c r="B242" s="8" t="inlineStr">
        <is>
          <t>Total</t>
        </is>
      </c>
      <c r="C242" s="8" t="inlineStr">
        <is>
          <t>20W-50</t>
        </is>
      </c>
      <c r="D242" s="12" t="n">
        <v>4</v>
      </c>
      <c r="E242" s="8" t="inlineStr">
        <is>
          <t>PCMO</t>
        </is>
      </c>
      <c r="F242" s="13" t="n">
        <v>818.52</v>
      </c>
      <c r="G242" s="13" t="n">
        <v>3274.08</v>
      </c>
      <c r="H242" s="8" t="inlineStr">
        <is>
          <t>TOTAL 3000 20W50 4L CAR ENGINE OIL</t>
        </is>
      </c>
      <c r="I242" s="8" t="inlineStr">
        <is>
          <t>Daraz</t>
        </is>
      </c>
    </row>
    <row r="243" ht="15" customHeight="1">
      <c r="A243" s="11" t="n">
        <v>239</v>
      </c>
      <c r="B243" s="8" t="inlineStr">
        <is>
          <t>Total</t>
        </is>
      </c>
      <c r="C243" s="8" t="inlineStr">
        <is>
          <t>20W-50</t>
        </is>
      </c>
      <c r="D243" s="12" t="n">
        <v>4</v>
      </c>
      <c r="E243" s="8" t="inlineStr">
        <is>
          <t>PCMO</t>
        </is>
      </c>
      <c r="F243" s="13" t="n">
        <v>795.72</v>
      </c>
      <c r="G243" s="13" t="n">
        <v>3182.88</v>
      </c>
      <c r="H243" s="8" t="inlineStr">
        <is>
          <t>TOTAL 3000 20W50 4L CAR ENGINE OIL</t>
        </is>
      </c>
      <c r="I243" s="8" t="inlineStr">
        <is>
          <t>Daraz</t>
        </is>
      </c>
    </row>
    <row r="244" ht="15" customHeight="1">
      <c r="A244" s="11" t="n">
        <v>240</v>
      </c>
      <c r="B244" s="8" t="inlineStr">
        <is>
          <t>Total</t>
        </is>
      </c>
      <c r="C244" s="8" t="inlineStr">
        <is>
          <t>20W-50</t>
        </is>
      </c>
      <c r="D244" s="12" t="n">
        <v>4</v>
      </c>
      <c r="E244" s="8" t="inlineStr">
        <is>
          <t>PCMO</t>
        </is>
      </c>
      <c r="F244" s="13" t="n">
        <v>818.52</v>
      </c>
      <c r="G244" s="13" t="n">
        <v>3274.08</v>
      </c>
      <c r="H244" s="8" t="inlineStr">
        <is>
          <t>TOTAL 3000 20W50 4L CAR ENGINE OIL</t>
        </is>
      </c>
      <c r="I244" s="8" t="inlineStr">
        <is>
          <t>Daraz</t>
        </is>
      </c>
    </row>
    <row r="245" ht="15" customHeight="1">
      <c r="A245" s="11" t="n">
        <v>241</v>
      </c>
      <c r="B245" s="8" t="inlineStr">
        <is>
          <t>Total Quartz</t>
        </is>
      </c>
      <c r="C245" s="8" t="inlineStr">
        <is>
          <t>20W-50</t>
        </is>
      </c>
      <c r="D245" s="12" t="n">
        <v>3</v>
      </c>
      <c r="E245" s="8" t="inlineStr">
        <is>
          <t>PCMO</t>
        </is>
      </c>
      <c r="F245" s="13" t="n">
        <v>1166.33</v>
      </c>
      <c r="G245" s="13" t="n">
        <v>3499</v>
      </c>
      <c r="H245" s="8" t="inlineStr">
        <is>
          <t>TOTAL QUARTZ 3000 20W50 3L</t>
        </is>
      </c>
      <c r="I245" s="8" t="inlineStr">
        <is>
          <t>Daraz</t>
        </is>
      </c>
    </row>
    <row r="246" ht="15" customHeight="1">
      <c r="A246" s="11" t="n">
        <v>242</v>
      </c>
      <c r="B246" s="8" t="inlineStr">
        <is>
          <t>Total Quartz</t>
        </is>
      </c>
      <c r="C246" s="8" t="inlineStr">
        <is>
          <t>20W-50</t>
        </is>
      </c>
      <c r="D246" s="12" t="n">
        <v>3</v>
      </c>
      <c r="E246" s="8" t="inlineStr">
        <is>
          <t>PCMO</t>
        </is>
      </c>
      <c r="F246" s="13" t="n">
        <v>1166.33</v>
      </c>
      <c r="G246" s="13" t="n">
        <v>3499</v>
      </c>
      <c r="H246" s="8" t="inlineStr">
        <is>
          <t>TOTAL QUARTZ 3000 20W50 3L</t>
        </is>
      </c>
      <c r="I246" s="8" t="inlineStr">
        <is>
          <t>Daraz</t>
        </is>
      </c>
    </row>
    <row r="247" ht="15" customHeight="1">
      <c r="A247" s="11" t="n">
        <v>243</v>
      </c>
      <c r="B247" s="8" t="inlineStr">
        <is>
          <t>ZIC</t>
        </is>
      </c>
      <c r="C247" s="8" t="inlineStr">
        <is>
          <t>20W-50</t>
        </is>
      </c>
      <c r="D247" s="12" t="n">
        <v>3</v>
      </c>
      <c r="E247" s="8" t="inlineStr">
        <is>
          <t>PCMO</t>
        </is>
      </c>
      <c r="F247" s="13" t="n">
        <v>1900</v>
      </c>
      <c r="G247" s="13" t="n">
        <v>5700</v>
      </c>
      <c r="H247" s="8" t="inlineStr">
        <is>
          <t>zic 20w50 3Ltr</t>
        </is>
      </c>
      <c r="I247" s="8" t="inlineStr">
        <is>
          <t>Daraz</t>
        </is>
      </c>
    </row>
    <row r="248" ht="15" customHeight="1">
      <c r="A248" s="11" t="n">
        <v>244</v>
      </c>
      <c r="B248" s="8" t="inlineStr">
        <is>
          <t>ZIC</t>
        </is>
      </c>
      <c r="C248" s="8" t="inlineStr">
        <is>
          <t>20W-50</t>
        </is>
      </c>
      <c r="D248" s="12" t="n">
        <v>3</v>
      </c>
      <c r="E248" s="8" t="inlineStr">
        <is>
          <t>PCMO</t>
        </is>
      </c>
      <c r="F248" s="13" t="n">
        <v>1900</v>
      </c>
      <c r="G248" s="13" t="n">
        <v>5700</v>
      </c>
      <c r="H248" s="8" t="inlineStr">
        <is>
          <t>zic 20w50 3Ltr</t>
        </is>
      </c>
      <c r="I248" s="8" t="inlineStr">
        <is>
          <t>Daraz</t>
        </is>
      </c>
    </row>
    <row r="249" ht="15" customHeight="1">
      <c r="A249" s="11" t="n">
        <v>245</v>
      </c>
      <c r="B249" s="8" t="inlineStr">
        <is>
          <t>ZIC</t>
        </is>
      </c>
      <c r="C249" s="8" t="inlineStr">
        <is>
          <t>20W-50</t>
        </is>
      </c>
      <c r="D249" s="12" t="n">
        <v>3</v>
      </c>
      <c r="E249" s="8" t="inlineStr">
        <is>
          <t>PCMO</t>
        </is>
      </c>
      <c r="F249" s="13" t="n">
        <v>1900</v>
      </c>
      <c r="G249" s="13" t="n">
        <v>5700</v>
      </c>
      <c r="H249" s="8" t="inlineStr">
        <is>
          <t>zic 20w50 3Ltr</t>
        </is>
      </c>
      <c r="I249" s="8" t="inlineStr">
        <is>
          <t>Daraz</t>
        </is>
      </c>
    </row>
    <row r="250" ht="15" customHeight="1">
      <c r="A250" s="11" t="n">
        <v>246</v>
      </c>
      <c r="B250" s="8" t="inlineStr">
        <is>
          <t>ZIC</t>
        </is>
      </c>
      <c r="C250" s="8" t="inlineStr">
        <is>
          <t>20W-50</t>
        </is>
      </c>
      <c r="D250" s="12" t="n">
        <v>4</v>
      </c>
      <c r="E250" s="8" t="inlineStr">
        <is>
          <t>PCMO</t>
        </is>
      </c>
      <c r="F250" s="13" t="n">
        <v>1087.5</v>
      </c>
      <c r="G250" s="13" t="n">
        <v>4350</v>
      </c>
      <c r="H250" s="8" t="inlineStr">
        <is>
          <t>Zic x3000 20w50 4L Oil</t>
        </is>
      </c>
      <c r="I250" s="8" t="inlineStr">
        <is>
          <t>Daraz</t>
        </is>
      </c>
    </row>
    <row r="251" ht="15" customHeight="1">
      <c r="A251" s="11" t="n">
        <v>247</v>
      </c>
      <c r="B251" s="8" t="inlineStr">
        <is>
          <t>ZIC</t>
        </is>
      </c>
      <c r="C251" s="8" t="inlineStr">
        <is>
          <t>20W-50</t>
        </is>
      </c>
      <c r="D251" s="12" t="n">
        <v>4</v>
      </c>
      <c r="E251" s="8" t="inlineStr">
        <is>
          <t>PCMO</t>
        </is>
      </c>
      <c r="F251" s="13" t="n">
        <v>987.5</v>
      </c>
      <c r="G251" s="13" t="n">
        <v>3950</v>
      </c>
      <c r="H251" s="8" t="inlineStr">
        <is>
          <t>Zic x3000 20w50 4L Oil</t>
        </is>
      </c>
      <c r="I251" s="8" t="inlineStr">
        <is>
          <t>Daraz</t>
        </is>
      </c>
    </row>
    <row r="252" ht="15" customHeight="1">
      <c r="A252" s="11" t="n">
        <v>248</v>
      </c>
      <c r="B252" s="8" t="inlineStr">
        <is>
          <t>ZIC</t>
        </is>
      </c>
      <c r="C252" s="8" t="inlineStr">
        <is>
          <t>20W-50</t>
        </is>
      </c>
      <c r="D252" s="12" t="n">
        <v>4</v>
      </c>
      <c r="E252" s="8" t="inlineStr">
        <is>
          <t>PCMO</t>
        </is>
      </c>
      <c r="F252" s="13" t="n">
        <v>1700</v>
      </c>
      <c r="G252" s="13" t="n">
        <v>6800</v>
      </c>
      <c r="H252" s="8" t="inlineStr">
        <is>
          <t>ZIC X3000 20w50 4ltr</t>
        </is>
      </c>
      <c r="I252" s="8" t="inlineStr">
        <is>
          <t>Daraz</t>
        </is>
      </c>
    </row>
    <row r="253" ht="15" customHeight="1">
      <c r="A253" s="11" t="n">
        <v>249</v>
      </c>
      <c r="B253" s="8" t="inlineStr">
        <is>
          <t>ZIC</t>
        </is>
      </c>
      <c r="C253" s="8" t="inlineStr">
        <is>
          <t>20W-50</t>
        </is>
      </c>
      <c r="D253" s="12" t="n">
        <v>4</v>
      </c>
      <c r="E253" s="8" t="inlineStr">
        <is>
          <t>PCMO</t>
        </is>
      </c>
      <c r="F253" s="13" t="n">
        <v>987.5</v>
      </c>
      <c r="G253" s="13" t="n">
        <v>3950</v>
      </c>
      <c r="H253" s="8" t="inlineStr">
        <is>
          <t>Zic x3000 20w50 4L Oil</t>
        </is>
      </c>
      <c r="I253" s="8" t="inlineStr">
        <is>
          <t>Daraz</t>
        </is>
      </c>
    </row>
    <row r="254" ht="15" customHeight="1">
      <c r="A254" s="11" t="n">
        <v>250</v>
      </c>
      <c r="B254" s="8" t="inlineStr">
        <is>
          <t>ZIC</t>
        </is>
      </c>
      <c r="C254" s="8" t="inlineStr">
        <is>
          <t>20W-50</t>
        </is>
      </c>
      <c r="D254" s="12" t="n">
        <v>4</v>
      </c>
      <c r="E254" s="8" t="inlineStr">
        <is>
          <t>PCMO</t>
        </is>
      </c>
      <c r="F254" s="13" t="n">
        <v>1087.5</v>
      </c>
      <c r="G254" s="13" t="n">
        <v>4350</v>
      </c>
      <c r="H254" s="8" t="inlineStr">
        <is>
          <t>Zic x3000 20w50 4L Oil</t>
        </is>
      </c>
      <c r="I254" s="8" t="inlineStr">
        <is>
          <t>Daraz</t>
        </is>
      </c>
    </row>
    <row r="255" ht="15" customHeight="1">
      <c r="A255" s="11" t="n">
        <v>251</v>
      </c>
      <c r="B255" s="8" t="inlineStr">
        <is>
          <t>ZIC</t>
        </is>
      </c>
      <c r="C255" s="8" t="inlineStr">
        <is>
          <t>20W-50</t>
        </is>
      </c>
      <c r="D255" s="12" t="n">
        <v>4</v>
      </c>
      <c r="E255" s="8" t="inlineStr">
        <is>
          <t>PCMO</t>
        </is>
      </c>
      <c r="F255" s="13" t="n">
        <v>1087.5</v>
      </c>
      <c r="G255" s="13" t="n">
        <v>4350</v>
      </c>
      <c r="H255" s="8" t="inlineStr">
        <is>
          <t>Zic x3000 20w50 4L Oil</t>
        </is>
      </c>
      <c r="I255" s="8" t="inlineStr">
        <is>
          <t>Daraz</t>
        </is>
      </c>
    </row>
    <row r="256" ht="15" customHeight="1">
      <c r="A256" s="11" t="n">
        <v>252</v>
      </c>
      <c r="B256" s="8" t="inlineStr">
        <is>
          <t>ZIC</t>
        </is>
      </c>
      <c r="C256" s="8" t="inlineStr">
        <is>
          <t>20W-50</t>
        </is>
      </c>
      <c r="D256" s="12" t="n">
        <v>4</v>
      </c>
      <c r="E256" s="8" t="inlineStr">
        <is>
          <t>PCMO</t>
        </is>
      </c>
      <c r="F256" s="13" t="n">
        <v>987.5</v>
      </c>
      <c r="G256" s="13" t="n">
        <v>3950</v>
      </c>
      <c r="H256" s="8" t="inlineStr">
        <is>
          <t>Zic x3000 20w50 4L Oil</t>
        </is>
      </c>
      <c r="I256" s="8" t="inlineStr">
        <is>
          <t>Daraz</t>
        </is>
      </c>
    </row>
    <row r="257" ht="15" customHeight="1">
      <c r="A257" s="11" t="n">
        <v>253</v>
      </c>
      <c r="B257" s="8" t="inlineStr">
        <is>
          <t>ZIC</t>
        </is>
      </c>
      <c r="C257" s="8" t="inlineStr">
        <is>
          <t>20W-50</t>
        </is>
      </c>
      <c r="D257" s="12" t="n">
        <v>4</v>
      </c>
      <c r="E257" s="8" t="inlineStr">
        <is>
          <t>PCMO</t>
        </is>
      </c>
      <c r="F257" s="13" t="n">
        <v>987.5</v>
      </c>
      <c r="G257" s="13" t="n">
        <v>3950</v>
      </c>
      <c r="H257" s="8" t="inlineStr">
        <is>
          <t>Zic x3000 20w50 4L Oil</t>
        </is>
      </c>
      <c r="I257" s="8" t="inlineStr">
        <is>
          <t>Daraz</t>
        </is>
      </c>
    </row>
    <row r="258" ht="15" customHeight="1">
      <c r="A258" s="11" t="n">
        <v>254</v>
      </c>
      <c r="B258" s="8" t="inlineStr">
        <is>
          <t>ZIC</t>
        </is>
      </c>
      <c r="C258" s="8" t="inlineStr">
        <is>
          <t>20W-50</t>
        </is>
      </c>
      <c r="D258" s="12" t="n">
        <v>4</v>
      </c>
      <c r="E258" s="8" t="inlineStr">
        <is>
          <t>PCMO</t>
        </is>
      </c>
      <c r="F258" s="13" t="n">
        <v>1025</v>
      </c>
      <c r="G258" s="13" t="n">
        <v>4100</v>
      </c>
      <c r="H258" s="8" t="inlineStr">
        <is>
          <t>Zic x3000 20w50 4L Oil</t>
        </is>
      </c>
      <c r="I258" s="8" t="inlineStr">
        <is>
          <t>Daraz</t>
        </is>
      </c>
    </row>
    <row r="259" ht="15" customHeight="1">
      <c r="A259" s="11" t="n">
        <v>255</v>
      </c>
      <c r="B259" s="8" t="inlineStr">
        <is>
          <t>ZIC</t>
        </is>
      </c>
      <c r="C259" s="8" t="inlineStr">
        <is>
          <t>20W-50</t>
        </is>
      </c>
      <c r="D259" s="12" t="n">
        <v>4</v>
      </c>
      <c r="E259" s="8" t="inlineStr">
        <is>
          <t>PCMO</t>
        </is>
      </c>
      <c r="F259" s="13" t="n">
        <v>1087.5</v>
      </c>
      <c r="G259" s="13" t="n">
        <v>4350</v>
      </c>
      <c r="H259" s="8" t="inlineStr">
        <is>
          <t>Zic x3000 20w50 4L Oil</t>
        </is>
      </c>
      <c r="I259" s="8" t="inlineStr">
        <is>
          <t>Daraz</t>
        </is>
      </c>
    </row>
    <row r="260" ht="15" customHeight="1">
      <c r="A260" s="11" t="n">
        <v>256</v>
      </c>
      <c r="B260" s="8" t="inlineStr">
        <is>
          <t>ZIC</t>
        </is>
      </c>
      <c r="C260" s="8" t="inlineStr">
        <is>
          <t>20W-50</t>
        </is>
      </c>
      <c r="D260" s="12" t="n">
        <v>4</v>
      </c>
      <c r="E260" s="8" t="inlineStr">
        <is>
          <t>PCMO</t>
        </is>
      </c>
      <c r="F260" s="13" t="n">
        <v>987.5</v>
      </c>
      <c r="G260" s="13" t="n">
        <v>3950</v>
      </c>
      <c r="H260" s="8" t="inlineStr">
        <is>
          <t>Zic x3000 20w50 4L Oil</t>
        </is>
      </c>
      <c r="I260" s="8" t="inlineStr">
        <is>
          <t>Daraz</t>
        </is>
      </c>
    </row>
    <row r="261" ht="15" customHeight="1">
      <c r="A261" s="11" t="n">
        <v>257</v>
      </c>
      <c r="B261" s="8" t="inlineStr">
        <is>
          <t>ZIC</t>
        </is>
      </c>
      <c r="C261" s="8" t="inlineStr">
        <is>
          <t>20W-50</t>
        </is>
      </c>
      <c r="D261" s="12" t="n">
        <v>4</v>
      </c>
      <c r="E261" s="8" t="inlineStr">
        <is>
          <t>PCMO</t>
        </is>
      </c>
      <c r="F261" s="13" t="n">
        <v>1700</v>
      </c>
      <c r="G261" s="13" t="n">
        <v>6800</v>
      </c>
      <c r="H261" s="8" t="inlineStr">
        <is>
          <t>ZIC X3000 20w50 4ltr</t>
        </is>
      </c>
      <c r="I261" s="8" t="inlineStr">
        <is>
          <t>Daraz</t>
        </is>
      </c>
    </row>
    <row r="262" ht="15" customHeight="1">
      <c r="A262" s="11" t="n">
        <v>258</v>
      </c>
      <c r="B262" s="8" t="inlineStr">
        <is>
          <t>ZIC</t>
        </is>
      </c>
      <c r="C262" s="8" t="inlineStr">
        <is>
          <t>20W-50</t>
        </is>
      </c>
      <c r="D262" s="12" t="n">
        <v>4</v>
      </c>
      <c r="E262" s="8" t="inlineStr">
        <is>
          <t>PCMO</t>
        </is>
      </c>
      <c r="F262" s="13" t="n">
        <v>1700</v>
      </c>
      <c r="G262" s="13" t="n">
        <v>6800</v>
      </c>
      <c r="H262" s="8" t="inlineStr">
        <is>
          <t>ZIC X3000 20w50 4ltr</t>
        </is>
      </c>
      <c r="I262" s="8" t="inlineStr">
        <is>
          <t>Daraz</t>
        </is>
      </c>
    </row>
    <row r="263" ht="15" customHeight="1">
      <c r="A263" s="11" t="n">
        <v>259</v>
      </c>
      <c r="B263" s="8" t="inlineStr">
        <is>
          <t>ZIC</t>
        </is>
      </c>
      <c r="C263" s="8" t="inlineStr">
        <is>
          <t>20W-50</t>
        </is>
      </c>
      <c r="D263" s="12" t="n">
        <v>4</v>
      </c>
      <c r="E263" s="8" t="inlineStr">
        <is>
          <t>PCMO</t>
        </is>
      </c>
      <c r="F263" s="13" t="n">
        <v>987.5</v>
      </c>
      <c r="G263" s="13" t="n">
        <v>3950</v>
      </c>
      <c r="H263" s="8" t="inlineStr">
        <is>
          <t>Zic x3000 20w50 4L Oil</t>
        </is>
      </c>
      <c r="I263" s="8" t="inlineStr">
        <is>
          <t>Daraz</t>
        </is>
      </c>
    </row>
    <row r="264" ht="15" customHeight="1">
      <c r="A264" s="11" t="n">
        <v>260</v>
      </c>
      <c r="B264" s="8" t="inlineStr">
        <is>
          <t>ZIC</t>
        </is>
      </c>
      <c r="C264" s="8" t="inlineStr">
        <is>
          <t>20W-50</t>
        </is>
      </c>
      <c r="D264" s="12" t="n">
        <v>4</v>
      </c>
      <c r="E264" s="8" t="inlineStr">
        <is>
          <t>PCMO</t>
        </is>
      </c>
      <c r="F264" s="13" t="n">
        <v>1700</v>
      </c>
      <c r="G264" s="13" t="n">
        <v>6800</v>
      </c>
      <c r="H264" s="8" t="inlineStr">
        <is>
          <t>ZIC X3000 20w50 4ltr</t>
        </is>
      </c>
      <c r="I264" s="8" t="inlineStr">
        <is>
          <t>Daraz</t>
        </is>
      </c>
    </row>
    <row r="265" ht="15" customHeight="1">
      <c r="A265" s="11" t="n">
        <v>261</v>
      </c>
      <c r="B265" s="8" t="inlineStr">
        <is>
          <t>ZIC</t>
        </is>
      </c>
      <c r="C265" s="8" t="inlineStr">
        <is>
          <t>20W-50</t>
        </is>
      </c>
      <c r="D265" s="12" t="n">
        <v>4</v>
      </c>
      <c r="E265" s="8" t="inlineStr">
        <is>
          <t>PCMO</t>
        </is>
      </c>
      <c r="F265" s="13" t="n">
        <v>987.5</v>
      </c>
      <c r="G265" s="13" t="n">
        <v>3950</v>
      </c>
      <c r="H265" s="8" t="inlineStr">
        <is>
          <t>Zic x3000 20w50 4L Oil</t>
        </is>
      </c>
      <c r="I265" s="8" t="inlineStr">
        <is>
          <t>Daraz</t>
        </is>
      </c>
    </row>
    <row r="266" ht="15" customHeight="1">
      <c r="A266" s="11" t="n">
        <v>262</v>
      </c>
      <c r="B266" s="8" t="inlineStr">
        <is>
          <t>ZIC X5</t>
        </is>
      </c>
      <c r="C266" s="8" t="inlineStr">
        <is>
          <t>20W-50</t>
        </is>
      </c>
      <c r="D266" s="12" t="n">
        <v>1</v>
      </c>
      <c r="E266" s="8" t="inlineStr">
        <is>
          <t>PCMO</t>
        </is>
      </c>
      <c r="F266" s="13" t="n">
        <v>2400</v>
      </c>
      <c r="G266" s="13" t="n">
        <v>2400</v>
      </c>
      <c r="H266" s="8" t="inlineStr">
        <is>
          <t>ZIC X5 20W-50 Synthetic Engine Oil – 1 Liter | Premium Multi-Grade Motor Oil | API SN | For Gasoline, CNG &amp; LPG Engines | Made in Korea</t>
        </is>
      </c>
      <c r="I266" s="8" t="inlineStr">
        <is>
          <t>Daraz</t>
        </is>
      </c>
    </row>
    <row r="267" ht="15" customHeight="1">
      <c r="A267" s="11" t="n">
        <v>263</v>
      </c>
      <c r="B267" s="8" t="inlineStr">
        <is>
          <t>ZIC X5</t>
        </is>
      </c>
      <c r="C267" s="8" t="inlineStr">
        <is>
          <t>20W-50</t>
        </is>
      </c>
      <c r="D267" s="12" t="n">
        <v>1</v>
      </c>
      <c r="E267" s="8" t="inlineStr">
        <is>
          <t>PCMO</t>
        </is>
      </c>
      <c r="F267" s="13" t="n">
        <v>2400</v>
      </c>
      <c r="G267" s="13" t="n">
        <v>2400</v>
      </c>
      <c r="H267" s="8" t="inlineStr">
        <is>
          <t>ZIC X5 20W-50 Synthetic Engine Oil – 1 Liter | Premium Multi-Grade Motor Oil | API SN | For Gasoline, CNG &amp; LPG Engines | Made in Korea</t>
        </is>
      </c>
      <c r="I267" s="8" t="inlineStr">
        <is>
          <t>Daraz</t>
        </is>
      </c>
    </row>
    <row r="268" ht="15" customHeight="1">
      <c r="A268" s="11" t="n">
        <v>264</v>
      </c>
      <c r="B268" s="8" t="inlineStr">
        <is>
          <t>ZIC X5</t>
        </is>
      </c>
      <c r="C268" s="8" t="inlineStr">
        <is>
          <t>20W-50</t>
        </is>
      </c>
      <c r="D268" s="12" t="n">
        <v>1</v>
      </c>
      <c r="E268" s="8" t="inlineStr">
        <is>
          <t>PCMO</t>
        </is>
      </c>
      <c r="F268" s="13" t="n">
        <v>2400</v>
      </c>
      <c r="G268" s="13" t="n">
        <v>2400</v>
      </c>
      <c r="H268" s="8" t="inlineStr">
        <is>
          <t>ZIC X5 20W-50 Synthetic Engine Oil – 1 Liter | Premium Multi-Grade Motor Oil | API SN | For Gasoline, CNG &amp; LPG Engines | Made in Korea</t>
        </is>
      </c>
      <c r="I268" s="8" t="inlineStr">
        <is>
          <t>Daraz</t>
        </is>
      </c>
    </row>
    <row r="269" ht="15" customHeight="1">
      <c r="A269" s="11" t="n">
        <v>265</v>
      </c>
      <c r="B269" s="8" t="inlineStr">
        <is>
          <t>ZIC X5</t>
        </is>
      </c>
      <c r="C269" s="8" t="inlineStr">
        <is>
          <t>20W-50</t>
        </is>
      </c>
      <c r="D269" s="12" t="n">
        <v>3</v>
      </c>
      <c r="E269" s="8" t="inlineStr">
        <is>
          <t>PCMO</t>
        </is>
      </c>
      <c r="F269" s="13" t="n">
        <v>1866.33</v>
      </c>
      <c r="G269" s="13" t="n">
        <v>5599</v>
      </c>
      <c r="H269" s="8" t="inlineStr">
        <is>
          <t>ZIC X5 20W-50 Synthetic 3L</t>
        </is>
      </c>
      <c r="I269" s="8" t="inlineStr">
        <is>
          <t>Daraz</t>
        </is>
      </c>
    </row>
    <row r="270" ht="15" customHeight="1">
      <c r="A270" s="11" t="n">
        <v>266</v>
      </c>
      <c r="B270" s="8" t="inlineStr">
        <is>
          <t>ZIC X5</t>
        </is>
      </c>
      <c r="C270" s="8" t="inlineStr">
        <is>
          <t>20W-50</t>
        </is>
      </c>
      <c r="D270" s="12" t="n">
        <v>3</v>
      </c>
      <c r="E270" s="8" t="inlineStr">
        <is>
          <t>PCMO</t>
        </is>
      </c>
      <c r="F270" s="13" t="n">
        <v>1183.33</v>
      </c>
      <c r="G270" s="13" t="n">
        <v>3550</v>
      </c>
      <c r="H270" s="8" t="inlineStr">
        <is>
          <t>zic x5 20w50 3L</t>
        </is>
      </c>
      <c r="I270" s="8" t="inlineStr">
        <is>
          <t>Daraz</t>
        </is>
      </c>
    </row>
    <row r="271" ht="15" customHeight="1">
      <c r="A271" s="11" t="n">
        <v>267</v>
      </c>
      <c r="B271" s="8" t="inlineStr">
        <is>
          <t>ZIC X5</t>
        </is>
      </c>
      <c r="C271" s="8" t="inlineStr">
        <is>
          <t>20W-50</t>
        </is>
      </c>
      <c r="D271" s="12" t="n">
        <v>3</v>
      </c>
      <c r="E271" s="8" t="inlineStr">
        <is>
          <t>PCMO</t>
        </is>
      </c>
      <c r="F271" s="13" t="n">
        <v>1183.33</v>
      </c>
      <c r="G271" s="13" t="n">
        <v>3550</v>
      </c>
      <c r="H271" s="8" t="inlineStr">
        <is>
          <t>zic x5 20w50 3L</t>
        </is>
      </c>
      <c r="I271" s="8" t="inlineStr">
        <is>
          <t>Daraz</t>
        </is>
      </c>
    </row>
    <row r="272" ht="15" customHeight="1">
      <c r="A272" s="11" t="n">
        <v>268</v>
      </c>
      <c r="B272" s="8" t="inlineStr">
        <is>
          <t>ZIC X5</t>
        </is>
      </c>
      <c r="C272" s="8" t="inlineStr">
        <is>
          <t>20W-50</t>
        </is>
      </c>
      <c r="D272" s="12" t="n">
        <v>3</v>
      </c>
      <c r="E272" s="8" t="inlineStr">
        <is>
          <t>PCMO</t>
        </is>
      </c>
      <c r="F272" s="13" t="n">
        <v>1866.33</v>
      </c>
      <c r="G272" s="13" t="n">
        <v>5599</v>
      </c>
      <c r="H272" s="8" t="inlineStr">
        <is>
          <t>ZIC X5 20W-50 Synthetic 3L</t>
        </is>
      </c>
      <c r="I272" s="8" t="inlineStr">
        <is>
          <t>Daraz</t>
        </is>
      </c>
    </row>
    <row r="273" ht="15" customHeight="1">
      <c r="A273" s="11" t="n">
        <v>269</v>
      </c>
      <c r="B273" s="8" t="inlineStr">
        <is>
          <t>ZIC X5</t>
        </is>
      </c>
      <c r="C273" s="8" t="inlineStr">
        <is>
          <t>20W-50</t>
        </is>
      </c>
      <c r="D273" s="12" t="n">
        <v>3</v>
      </c>
      <c r="E273" s="8" t="inlineStr">
        <is>
          <t>PCMO</t>
        </is>
      </c>
      <c r="F273" s="13" t="n">
        <v>1133.33</v>
      </c>
      <c r="G273" s="13" t="n">
        <v>3400</v>
      </c>
      <c r="H273" s="8" t="inlineStr">
        <is>
          <t>Zic X5 20W50 Standard Engine Oil 3 Liter Car Care Maintenance Automotive Oil</t>
        </is>
      </c>
      <c r="I273" s="8" t="inlineStr">
        <is>
          <t>Daraz</t>
        </is>
      </c>
    </row>
    <row r="274" ht="15" customHeight="1">
      <c r="A274" s="11" t="n">
        <v>270</v>
      </c>
      <c r="B274" s="8" t="inlineStr">
        <is>
          <t>ZIC X5</t>
        </is>
      </c>
      <c r="C274" s="8" t="inlineStr">
        <is>
          <t>20W-50</t>
        </is>
      </c>
      <c r="D274" s="12" t="n">
        <v>3</v>
      </c>
      <c r="E274" s="8" t="inlineStr">
        <is>
          <t>PCMO</t>
        </is>
      </c>
      <c r="F274" s="13" t="n">
        <v>1866.33</v>
      </c>
      <c r="G274" s="13" t="n">
        <v>5599</v>
      </c>
      <c r="H274" s="8" t="inlineStr">
        <is>
          <t>ZIC X5 20W-50 Synthetic 3L</t>
        </is>
      </c>
      <c r="I274" s="8" t="inlineStr">
        <is>
          <t>Daraz</t>
        </is>
      </c>
    </row>
    <row r="275" ht="15" customHeight="1">
      <c r="A275" s="11" t="n">
        <v>271</v>
      </c>
      <c r="B275" s="8" t="inlineStr">
        <is>
          <t>ZIC X5</t>
        </is>
      </c>
      <c r="C275" s="8" t="inlineStr">
        <is>
          <t>20W-50</t>
        </is>
      </c>
      <c r="D275" s="12" t="n">
        <v>3</v>
      </c>
      <c r="E275" s="8" t="inlineStr">
        <is>
          <t>PCMO</t>
        </is>
      </c>
      <c r="F275" s="13" t="n">
        <v>1183.33</v>
      </c>
      <c r="G275" s="13" t="n">
        <v>3550</v>
      </c>
      <c r="H275" s="8" t="inlineStr">
        <is>
          <t>zic x5 20w50 3L</t>
        </is>
      </c>
      <c r="I275" s="8" t="inlineStr">
        <is>
          <t>Daraz</t>
        </is>
      </c>
    </row>
    <row r="276" ht="15" customHeight="1">
      <c r="A276" s="11" t="n">
        <v>272</v>
      </c>
      <c r="B276" s="8" t="inlineStr">
        <is>
          <t>ZIC X5</t>
        </is>
      </c>
      <c r="C276" s="8" t="inlineStr">
        <is>
          <t>20W-50</t>
        </is>
      </c>
      <c r="D276" s="12" t="n">
        <v>3</v>
      </c>
      <c r="E276" s="8" t="inlineStr">
        <is>
          <t>PCMO</t>
        </is>
      </c>
      <c r="F276" s="13" t="n">
        <v>1133.33</v>
      </c>
      <c r="G276" s="13" t="n">
        <v>3400</v>
      </c>
      <c r="H276" s="8" t="inlineStr">
        <is>
          <t>Zic X5 20W50 Standard Engine Oil 3 Liter Car Care Maintenance Automotive Oil</t>
        </is>
      </c>
      <c r="I276" s="8" t="inlineStr">
        <is>
          <t>Daraz</t>
        </is>
      </c>
    </row>
    <row r="277" ht="15" customHeight="1">
      <c r="A277" s="11" t="n">
        <v>273</v>
      </c>
      <c r="B277" s="8" t="inlineStr">
        <is>
          <t>ZIC X5</t>
        </is>
      </c>
      <c r="C277" s="8" t="inlineStr">
        <is>
          <t>20W-50</t>
        </is>
      </c>
      <c r="D277" s="12" t="n">
        <v>3</v>
      </c>
      <c r="E277" s="8" t="inlineStr">
        <is>
          <t>PCMO</t>
        </is>
      </c>
      <c r="F277" s="13" t="n">
        <v>1183.33</v>
      </c>
      <c r="G277" s="13" t="n">
        <v>3550</v>
      </c>
      <c r="H277" s="8" t="inlineStr">
        <is>
          <t>zic x5 20w50 3L</t>
        </is>
      </c>
      <c r="I277" s="8" t="inlineStr">
        <is>
          <t>Daraz</t>
        </is>
      </c>
    </row>
    <row r="278" ht="15" customHeight="1">
      <c r="A278" s="11" t="n">
        <v>274</v>
      </c>
      <c r="B278" s="8" t="inlineStr">
        <is>
          <t>ZIC X5</t>
        </is>
      </c>
      <c r="C278" s="8" t="inlineStr">
        <is>
          <t>20W-50</t>
        </is>
      </c>
      <c r="D278" s="12" t="n">
        <v>3</v>
      </c>
      <c r="E278" s="8" t="inlineStr">
        <is>
          <t>PCMO</t>
        </is>
      </c>
      <c r="F278" s="13" t="n">
        <v>1133.33</v>
      </c>
      <c r="G278" s="13" t="n">
        <v>3400</v>
      </c>
      <c r="H278" s="8" t="inlineStr">
        <is>
          <t>Zic X5 20W50 Standard Engine Oil 3 Liter Car Care Maintenance Automotive Oil</t>
        </is>
      </c>
      <c r="I278" s="8" t="inlineStr">
        <is>
          <t>Daraz</t>
        </is>
      </c>
    </row>
    <row r="279" ht="15" customHeight="1">
      <c r="A279" s="11" t="n">
        <v>275</v>
      </c>
      <c r="B279" s="8" t="inlineStr">
        <is>
          <t>ZIC X5</t>
        </is>
      </c>
      <c r="C279" s="8" t="inlineStr">
        <is>
          <t>20W-50</t>
        </is>
      </c>
      <c r="D279" s="12" t="n">
        <v>3</v>
      </c>
      <c r="E279" s="8" t="inlineStr">
        <is>
          <t>PCMO</t>
        </is>
      </c>
      <c r="F279" s="13" t="n">
        <v>1866.33</v>
      </c>
      <c r="G279" s="13" t="n">
        <v>5599</v>
      </c>
      <c r="H279" s="8" t="inlineStr">
        <is>
          <t>ZIC X5 20W-50 Synthetic 3L</t>
        </is>
      </c>
      <c r="I279" s="8" t="inlineStr">
        <is>
          <t>Daraz</t>
        </is>
      </c>
    </row>
    <row r="280" ht="15" customHeight="1">
      <c r="A280" s="11" t="n">
        <v>276</v>
      </c>
      <c r="B280" s="8" t="inlineStr">
        <is>
          <t>ZIC X5</t>
        </is>
      </c>
      <c r="C280" s="8" t="inlineStr">
        <is>
          <t>20W-50</t>
        </is>
      </c>
      <c r="D280" s="12" t="n">
        <v>3</v>
      </c>
      <c r="E280" s="8" t="inlineStr">
        <is>
          <t>PCMO</t>
        </is>
      </c>
      <c r="F280" s="13" t="n">
        <v>1133.33</v>
      </c>
      <c r="G280" s="13" t="n">
        <v>3400</v>
      </c>
      <c r="H280" s="8" t="inlineStr">
        <is>
          <t>Zic X5 20W50 Standard Engine Oil 3 Liter Car Care Maintenance Automotive Oil</t>
        </is>
      </c>
      <c r="I280" s="8" t="inlineStr">
        <is>
          <t>Daraz</t>
        </is>
      </c>
    </row>
    <row r="281" ht="15" customHeight="1">
      <c r="A281" s="11" t="n">
        <v>277</v>
      </c>
      <c r="B281" s="8" t="inlineStr">
        <is>
          <t>ZIC X5</t>
        </is>
      </c>
      <c r="C281" s="8" t="inlineStr">
        <is>
          <t>20W-50</t>
        </is>
      </c>
      <c r="D281" s="12" t="n">
        <v>3</v>
      </c>
      <c r="E281" s="8" t="inlineStr">
        <is>
          <t>PCMO</t>
        </is>
      </c>
      <c r="F281" s="13" t="n">
        <v>1183.33</v>
      </c>
      <c r="G281" s="13" t="n">
        <v>3550</v>
      </c>
      <c r="H281" s="8" t="inlineStr">
        <is>
          <t>zic x5 20w50 3L</t>
        </is>
      </c>
      <c r="I281" s="8" t="inlineStr">
        <is>
          <t>Daraz</t>
        </is>
      </c>
    </row>
    <row r="282" ht="15" customHeight="1">
      <c r="A282" s="11" t="n">
        <v>278</v>
      </c>
      <c r="B282" s="8" t="inlineStr">
        <is>
          <t>ZIC X5</t>
        </is>
      </c>
      <c r="C282" s="8" t="inlineStr">
        <is>
          <t>20W-50</t>
        </is>
      </c>
      <c r="D282" s="12" t="n">
        <v>4</v>
      </c>
      <c r="E282" s="8" t="inlineStr">
        <is>
          <t>PCMO</t>
        </is>
      </c>
      <c r="F282" s="13" t="n">
        <v>1024.75</v>
      </c>
      <c r="G282" s="13" t="n">
        <v>4099</v>
      </c>
      <c r="H282" s="8" t="inlineStr">
        <is>
          <t>@ZIC X5 20W-50 4 litre best engine oil for cars and all automotives  Synthetic | Crude | Raw2nd</t>
        </is>
      </c>
      <c r="I282" s="8" t="inlineStr">
        <is>
          <t>Daraz</t>
        </is>
      </c>
    </row>
    <row r="283" ht="15" customHeight="1">
      <c r="A283" s="11" t="n">
        <v>279</v>
      </c>
      <c r="B283" s="8" t="inlineStr">
        <is>
          <t>ZIC X5</t>
        </is>
      </c>
      <c r="C283" s="8" t="inlineStr">
        <is>
          <t>20W-50</t>
        </is>
      </c>
      <c r="D283" s="12" t="n">
        <v>4</v>
      </c>
      <c r="E283" s="8" t="inlineStr">
        <is>
          <t>PCMO</t>
        </is>
      </c>
      <c r="F283" s="13" t="n">
        <v>1024.75</v>
      </c>
      <c r="G283" s="13" t="n">
        <v>4099</v>
      </c>
      <c r="H283" s="8" t="inlineStr">
        <is>
          <t>@ZIC X5 20W-50 4 litre best engine oil for cars and all automotives  Synthetic | Crude | Raw2nd</t>
        </is>
      </c>
      <c r="I283" s="8" t="inlineStr">
        <is>
          <t>Daraz</t>
        </is>
      </c>
    </row>
    <row r="284" ht="15" customHeight="1">
      <c r="A284" s="11" t="n">
        <v>280</v>
      </c>
      <c r="B284" s="8" t="inlineStr">
        <is>
          <t>ZIC X5</t>
        </is>
      </c>
      <c r="C284" s="8" t="inlineStr">
        <is>
          <t>20W-50</t>
        </is>
      </c>
      <c r="D284" s="12" t="n">
        <v>4</v>
      </c>
      <c r="E284" s="8" t="inlineStr">
        <is>
          <t>PCMO</t>
        </is>
      </c>
      <c r="F284" s="13" t="n">
        <v>995</v>
      </c>
      <c r="G284" s="13" t="n">
        <v>3980</v>
      </c>
      <c r="H284" s="8" t="inlineStr">
        <is>
          <t>ZIC X5 20W-50 4L Hi Flow</t>
        </is>
      </c>
      <c r="I284" s="8" t="inlineStr">
        <is>
          <t>Daraz</t>
        </is>
      </c>
    </row>
    <row r="285" ht="15" customHeight="1">
      <c r="A285" s="11" t="n">
        <v>281</v>
      </c>
      <c r="B285" s="8" t="inlineStr">
        <is>
          <t>ZIC X5</t>
        </is>
      </c>
      <c r="C285" s="8" t="inlineStr">
        <is>
          <t>20W-50</t>
        </is>
      </c>
      <c r="D285" s="12" t="n">
        <v>4</v>
      </c>
      <c r="E285" s="8" t="inlineStr">
        <is>
          <t>PCMO</t>
        </is>
      </c>
      <c r="F285" s="13" t="n">
        <v>1024.75</v>
      </c>
      <c r="G285" s="13" t="n">
        <v>4099</v>
      </c>
      <c r="H285" s="8" t="inlineStr">
        <is>
          <t>@ZIC X5 20W-50 4 litre best engine oil for cars and all automotives  Synthetic | Crude | Raw</t>
        </is>
      </c>
      <c r="I285" s="8" t="inlineStr">
        <is>
          <t>Daraz</t>
        </is>
      </c>
    </row>
    <row r="286" ht="15" customHeight="1">
      <c r="A286" s="11" t="n">
        <v>282</v>
      </c>
      <c r="B286" s="8" t="inlineStr">
        <is>
          <t>ZIC X5</t>
        </is>
      </c>
      <c r="C286" s="8" t="inlineStr">
        <is>
          <t>20W-50</t>
        </is>
      </c>
      <c r="D286" s="12" t="n">
        <v>4</v>
      </c>
      <c r="E286" s="8" t="inlineStr">
        <is>
          <t>PCMO</t>
        </is>
      </c>
      <c r="F286" s="13" t="n">
        <v>995</v>
      </c>
      <c r="G286" s="13" t="n">
        <v>3980</v>
      </c>
      <c r="H286" s="8" t="inlineStr">
        <is>
          <t>ZIC X5 20W50 PETROL ENGINE OIL 4L</t>
        </is>
      </c>
      <c r="I286" s="8" t="inlineStr">
        <is>
          <t>Daraz</t>
        </is>
      </c>
    </row>
    <row r="287" ht="15" customHeight="1">
      <c r="A287" s="11" t="n">
        <v>283</v>
      </c>
      <c r="B287" s="8" t="inlineStr">
        <is>
          <t>ZIC X5</t>
        </is>
      </c>
      <c r="C287" s="8" t="inlineStr">
        <is>
          <t>20W-50</t>
        </is>
      </c>
      <c r="D287" s="12" t="n">
        <v>4</v>
      </c>
      <c r="E287" s="8" t="inlineStr">
        <is>
          <t>PCMO</t>
        </is>
      </c>
      <c r="F287" s="13" t="n">
        <v>995</v>
      </c>
      <c r="G287" s="13" t="n">
        <v>3980</v>
      </c>
      <c r="H287" s="8" t="inlineStr">
        <is>
          <t>ZIC X5 20W-50 4L Hi Flow</t>
        </is>
      </c>
      <c r="I287" s="8" t="inlineStr">
        <is>
          <t>Daraz</t>
        </is>
      </c>
    </row>
    <row r="288" ht="15" customHeight="1">
      <c r="A288" s="11" t="n">
        <v>284</v>
      </c>
      <c r="B288" s="8" t="inlineStr">
        <is>
          <t>ZIC X5</t>
        </is>
      </c>
      <c r="C288" s="8" t="inlineStr">
        <is>
          <t>20W-50</t>
        </is>
      </c>
      <c r="D288" s="12" t="n">
        <v>4</v>
      </c>
      <c r="E288" s="8" t="inlineStr">
        <is>
          <t>PCMO</t>
        </is>
      </c>
      <c r="F288" s="13" t="n">
        <v>1024.75</v>
      </c>
      <c r="G288" s="13" t="n">
        <v>4099</v>
      </c>
      <c r="H288" s="8" t="inlineStr">
        <is>
          <t>@ZIC X5 20W-50 4 litre best engine oil for cars and all automotives  Synthetic | Crude | Raw</t>
        </is>
      </c>
      <c r="I288" s="8" t="inlineStr">
        <is>
          <t>Daraz</t>
        </is>
      </c>
    </row>
    <row r="289" ht="15" customHeight="1">
      <c r="A289" s="11" t="n">
        <v>285</v>
      </c>
      <c r="B289" s="8" t="inlineStr">
        <is>
          <t>ZIC X5</t>
        </is>
      </c>
      <c r="C289" s="8" t="inlineStr">
        <is>
          <t>20W-50</t>
        </is>
      </c>
      <c r="D289" s="12" t="n">
        <v>4</v>
      </c>
      <c r="E289" s="8" t="inlineStr">
        <is>
          <t>PCMO</t>
        </is>
      </c>
      <c r="F289" s="13" t="n">
        <v>995</v>
      </c>
      <c r="G289" s="13" t="n">
        <v>3980</v>
      </c>
      <c r="H289" s="8" t="inlineStr">
        <is>
          <t>ZIC X5 20W50 PETROL ENGINE OIL 4L</t>
        </is>
      </c>
      <c r="I289" s="8" t="inlineStr">
        <is>
          <t>Daraz</t>
        </is>
      </c>
    </row>
    <row r="290" ht="15" customHeight="1">
      <c r="A290" s="11" t="n">
        <v>286</v>
      </c>
      <c r="B290" s="8" t="inlineStr">
        <is>
          <t>ZIC X5</t>
        </is>
      </c>
      <c r="C290" s="8" t="inlineStr">
        <is>
          <t>20W-50</t>
        </is>
      </c>
      <c r="D290" s="12" t="n">
        <v>4</v>
      </c>
      <c r="E290" s="8" t="inlineStr">
        <is>
          <t>PCMO</t>
        </is>
      </c>
      <c r="F290" s="13" t="n">
        <v>1024.75</v>
      </c>
      <c r="G290" s="13" t="n">
        <v>4099</v>
      </c>
      <c r="H290" s="8" t="inlineStr">
        <is>
          <t>@ZIC X5 20W-50 4 litre best engine oil for cars and all automotives  Synthetic | Crude | Raw2nd</t>
        </is>
      </c>
      <c r="I290" s="8" t="inlineStr">
        <is>
          <t>Daraz</t>
        </is>
      </c>
    </row>
    <row r="291" ht="15" customHeight="1">
      <c r="A291" s="11" t="n">
        <v>287</v>
      </c>
      <c r="B291" s="8" t="inlineStr">
        <is>
          <t>ZIC X5</t>
        </is>
      </c>
      <c r="C291" s="8" t="inlineStr">
        <is>
          <t>20W-50</t>
        </is>
      </c>
      <c r="D291" s="12" t="n">
        <v>4</v>
      </c>
      <c r="E291" s="8" t="inlineStr">
        <is>
          <t>PCMO</t>
        </is>
      </c>
      <c r="F291" s="13" t="n">
        <v>1024.75</v>
      </c>
      <c r="G291" s="13" t="n">
        <v>4099</v>
      </c>
      <c r="H291" s="8" t="inlineStr">
        <is>
          <t>@ZIC X5 20W-50 4 litre best engine oil for cars and all automotives  Synthetic | Crude | Raw2nd</t>
        </is>
      </c>
      <c r="I291" s="8" t="inlineStr">
        <is>
          <t>Daraz</t>
        </is>
      </c>
    </row>
    <row r="292" ht="15" customHeight="1">
      <c r="A292" s="11" t="n">
        <v>288</v>
      </c>
      <c r="B292" s="8" t="inlineStr">
        <is>
          <t>ZIC X5</t>
        </is>
      </c>
      <c r="C292" s="8" t="inlineStr">
        <is>
          <t>20W-50</t>
        </is>
      </c>
      <c r="D292" s="12" t="n">
        <v>4</v>
      </c>
      <c r="E292" s="8" t="inlineStr">
        <is>
          <t>PCMO</t>
        </is>
      </c>
      <c r="F292" s="13" t="n">
        <v>1624.75</v>
      </c>
      <c r="G292" s="13" t="n">
        <v>6499</v>
      </c>
      <c r="H292" s="8" t="inlineStr">
        <is>
          <t>ZIC X5 20W-50 4LITRE SYNTHETIC</t>
        </is>
      </c>
      <c r="I292" s="8" t="inlineStr">
        <is>
          <t>Daraz</t>
        </is>
      </c>
    </row>
    <row r="293" ht="15" customHeight="1">
      <c r="A293" s="11" t="n">
        <v>289</v>
      </c>
      <c r="B293" s="8" t="inlineStr">
        <is>
          <t>ZIC X5</t>
        </is>
      </c>
      <c r="C293" s="8" t="inlineStr">
        <is>
          <t>20W-50</t>
        </is>
      </c>
      <c r="D293" s="12" t="n">
        <v>4</v>
      </c>
      <c r="E293" s="8" t="inlineStr">
        <is>
          <t>PCMO</t>
        </is>
      </c>
      <c r="F293" s="13" t="n">
        <v>950</v>
      </c>
      <c r="G293" s="13" t="n">
        <v>3800</v>
      </c>
      <c r="H293" s="8" t="inlineStr">
        <is>
          <t>ZIC X5 20W-50 4L Hi Flow</t>
        </is>
      </c>
      <c r="I293" s="8" t="inlineStr">
        <is>
          <t>Daraz</t>
        </is>
      </c>
    </row>
    <row r="294" ht="15" customHeight="1">
      <c r="A294" s="11" t="n">
        <v>290</v>
      </c>
      <c r="B294" s="8" t="inlineStr">
        <is>
          <t>ZIC X5</t>
        </is>
      </c>
      <c r="C294" s="8" t="inlineStr">
        <is>
          <t>20W-50</t>
        </is>
      </c>
      <c r="D294" s="12" t="n">
        <v>4</v>
      </c>
      <c r="E294" s="8" t="inlineStr">
        <is>
          <t>PCMO</t>
        </is>
      </c>
      <c r="F294" s="13" t="n">
        <v>1875</v>
      </c>
      <c r="G294" s="13" t="n">
        <v>7500</v>
      </c>
      <c r="H294" s="8" t="inlineStr">
        <is>
          <t>ZIC X5 20W-50 Motor Oil 4L Original Oil Wholesell Rate</t>
        </is>
      </c>
      <c r="I294" s="8" t="inlineStr">
        <is>
          <t>Daraz</t>
        </is>
      </c>
    </row>
    <row r="295" ht="15" customHeight="1">
      <c r="A295" s="11" t="n">
        <v>291</v>
      </c>
      <c r="B295" s="8" t="inlineStr">
        <is>
          <t>ZIC X5</t>
        </is>
      </c>
      <c r="C295" s="8" t="inlineStr">
        <is>
          <t>20W-50</t>
        </is>
      </c>
      <c r="D295" s="12" t="n">
        <v>4</v>
      </c>
      <c r="E295" s="8" t="inlineStr">
        <is>
          <t>PCMO</t>
        </is>
      </c>
      <c r="F295" s="13" t="n">
        <v>1024.75</v>
      </c>
      <c r="G295" s="13" t="n">
        <v>4099</v>
      </c>
      <c r="H295" s="8" t="inlineStr">
        <is>
          <t>@ZIC X5 20W-50 4 litre best engine oil for cars and all automotives  Synthetic | Crude | Raw</t>
        </is>
      </c>
      <c r="I295" s="8" t="inlineStr">
        <is>
          <t>Daraz</t>
        </is>
      </c>
    </row>
    <row r="296" ht="15" customHeight="1">
      <c r="A296" s="11" t="n">
        <v>292</v>
      </c>
      <c r="B296" s="8" t="inlineStr">
        <is>
          <t>ZIC X5</t>
        </is>
      </c>
      <c r="C296" s="8" t="inlineStr">
        <is>
          <t>20W-50</t>
        </is>
      </c>
      <c r="D296" s="12" t="n">
        <v>4</v>
      </c>
      <c r="E296" s="8" t="inlineStr">
        <is>
          <t>PCMO</t>
        </is>
      </c>
      <c r="F296" s="13" t="n">
        <v>995</v>
      </c>
      <c r="G296" s="13" t="n">
        <v>3980</v>
      </c>
      <c r="H296" s="8" t="inlineStr">
        <is>
          <t>ZIC X5 20W-50 4L Hi Flow</t>
        </is>
      </c>
      <c r="I296" s="8" t="inlineStr">
        <is>
          <t>Daraz</t>
        </is>
      </c>
    </row>
    <row r="297" ht="15" customHeight="1">
      <c r="A297" s="11" t="n">
        <v>293</v>
      </c>
      <c r="B297" s="8" t="inlineStr">
        <is>
          <t>ZIC X5</t>
        </is>
      </c>
      <c r="C297" s="8" t="inlineStr">
        <is>
          <t>20W-50</t>
        </is>
      </c>
      <c r="D297" s="12" t="n">
        <v>4</v>
      </c>
      <c r="E297" s="8" t="inlineStr">
        <is>
          <t>PCMO</t>
        </is>
      </c>
      <c r="F297" s="13" t="n">
        <v>1624.75</v>
      </c>
      <c r="G297" s="13" t="n">
        <v>6499</v>
      </c>
      <c r="H297" s="8" t="inlineStr">
        <is>
          <t>ZIC X5 20W-50 4LITRE SYNTHETIC</t>
        </is>
      </c>
      <c r="I297" s="8" t="inlineStr">
        <is>
          <t>Daraz</t>
        </is>
      </c>
    </row>
    <row r="298" ht="15" customHeight="1">
      <c r="A298" s="11" t="n">
        <v>294</v>
      </c>
      <c r="B298" s="8" t="inlineStr">
        <is>
          <t>ZIC X5</t>
        </is>
      </c>
      <c r="C298" s="8" t="inlineStr">
        <is>
          <t>20W-50</t>
        </is>
      </c>
      <c r="D298" s="12" t="n">
        <v>4</v>
      </c>
      <c r="E298" s="8" t="inlineStr">
        <is>
          <t>PCMO</t>
        </is>
      </c>
      <c r="F298" s="13" t="n">
        <v>995</v>
      </c>
      <c r="G298" s="13" t="n">
        <v>3980</v>
      </c>
      <c r="H298" s="8" t="inlineStr">
        <is>
          <t>ZIC X5 20W50 PETROL ENGINE OIL 4L</t>
        </is>
      </c>
      <c r="I298" s="8" t="inlineStr">
        <is>
          <t>Daraz</t>
        </is>
      </c>
    </row>
    <row r="299" ht="15" customHeight="1">
      <c r="A299" s="11" t="n">
        <v>295</v>
      </c>
      <c r="B299" s="8" t="inlineStr">
        <is>
          <t>ZIC X5</t>
        </is>
      </c>
      <c r="C299" s="8" t="inlineStr">
        <is>
          <t>20W-50</t>
        </is>
      </c>
      <c r="D299" s="12" t="n">
        <v>4</v>
      </c>
      <c r="E299" s="8" t="inlineStr">
        <is>
          <t>PCMO</t>
        </is>
      </c>
      <c r="F299" s="13" t="n">
        <v>950</v>
      </c>
      <c r="G299" s="13" t="n">
        <v>3800</v>
      </c>
      <c r="H299" s="8" t="inlineStr">
        <is>
          <t>ZIC X5 20W-50 4L Hi Flow</t>
        </is>
      </c>
      <c r="I299" s="8" t="inlineStr">
        <is>
          <t>Daraz</t>
        </is>
      </c>
    </row>
    <row r="300" ht="15" customHeight="1">
      <c r="A300" s="11" t="n">
        <v>296</v>
      </c>
      <c r="B300" s="8" t="inlineStr">
        <is>
          <t>ZIC X5</t>
        </is>
      </c>
      <c r="C300" s="8" t="inlineStr">
        <is>
          <t>20W-50</t>
        </is>
      </c>
      <c r="D300" s="12" t="n">
        <v>4</v>
      </c>
      <c r="E300" s="8" t="inlineStr">
        <is>
          <t>PCMO</t>
        </is>
      </c>
      <c r="F300" s="13" t="n">
        <v>1024.75</v>
      </c>
      <c r="G300" s="13" t="n">
        <v>4099</v>
      </c>
      <c r="H300" s="8" t="inlineStr">
        <is>
          <t>@ZIC X5 20W-50 4 litre best engine oil for cars and all automotives  Synthetic | Crude | Raw2nd</t>
        </is>
      </c>
      <c r="I300" s="8" t="inlineStr">
        <is>
          <t>Daraz</t>
        </is>
      </c>
    </row>
    <row r="301" ht="15" customHeight="1">
      <c r="A301" s="11" t="n">
        <v>297</v>
      </c>
      <c r="B301" s="8" t="inlineStr">
        <is>
          <t>ZIC X5</t>
        </is>
      </c>
      <c r="C301" s="8" t="inlineStr">
        <is>
          <t>20W-50</t>
        </is>
      </c>
      <c r="D301" s="12" t="n">
        <v>4</v>
      </c>
      <c r="E301" s="8" t="inlineStr">
        <is>
          <t>PCMO</t>
        </is>
      </c>
      <c r="F301" s="13" t="n">
        <v>1024.75</v>
      </c>
      <c r="G301" s="13" t="n">
        <v>4099</v>
      </c>
      <c r="H301" s="8" t="inlineStr">
        <is>
          <t>@ZIC X5 20W-50 4 litre best engine oil for cars and all automotives  Synthetic | Crude | Raw2nd</t>
        </is>
      </c>
      <c r="I301" s="8" t="inlineStr">
        <is>
          <t>Daraz</t>
        </is>
      </c>
    </row>
    <row r="302" ht="15" customHeight="1">
      <c r="A302" s="11" t="n">
        <v>298</v>
      </c>
      <c r="B302" s="8" t="inlineStr">
        <is>
          <t>ZIC X5</t>
        </is>
      </c>
      <c r="C302" s="8" t="inlineStr">
        <is>
          <t>20W-50</t>
        </is>
      </c>
      <c r="D302" s="12" t="n">
        <v>4</v>
      </c>
      <c r="E302" s="8" t="inlineStr">
        <is>
          <t>PCMO</t>
        </is>
      </c>
      <c r="F302" s="13" t="n">
        <v>1875</v>
      </c>
      <c r="G302" s="13" t="n">
        <v>7500</v>
      </c>
      <c r="H302" s="8" t="inlineStr">
        <is>
          <t>ZIC X5 20W-50 Motor Oil 4L Original Oil Wholesell Rate</t>
        </is>
      </c>
      <c r="I302" s="8" t="inlineStr">
        <is>
          <t>Daraz</t>
        </is>
      </c>
    </row>
    <row r="303" ht="15" customHeight="1">
      <c r="A303" s="11" t="n">
        <v>299</v>
      </c>
      <c r="B303" s="8" t="inlineStr">
        <is>
          <t>ZIC X5</t>
        </is>
      </c>
      <c r="C303" s="8" t="inlineStr">
        <is>
          <t>20W-50</t>
        </is>
      </c>
      <c r="D303" s="12" t="n">
        <v>4</v>
      </c>
      <c r="E303" s="8" t="inlineStr">
        <is>
          <t>PCMO</t>
        </is>
      </c>
      <c r="F303" s="13" t="n">
        <v>995</v>
      </c>
      <c r="G303" s="13" t="n">
        <v>3980</v>
      </c>
      <c r="H303" s="8" t="inlineStr">
        <is>
          <t>ZIC X5 20W-50 4L Hi Flow</t>
        </is>
      </c>
      <c r="I303" s="8" t="inlineStr">
        <is>
          <t>Daraz</t>
        </is>
      </c>
    </row>
    <row r="304" ht="15" customHeight="1">
      <c r="A304" s="11" t="n">
        <v>300</v>
      </c>
      <c r="B304" s="8" t="inlineStr">
        <is>
          <t>ZIC X5</t>
        </is>
      </c>
      <c r="C304" s="8" t="inlineStr">
        <is>
          <t>20W-50</t>
        </is>
      </c>
      <c r="D304" s="12" t="n">
        <v>4</v>
      </c>
      <c r="E304" s="8" t="inlineStr">
        <is>
          <t>PCMO</t>
        </is>
      </c>
      <c r="F304" s="13" t="n">
        <v>1024.75</v>
      </c>
      <c r="G304" s="13" t="n">
        <v>4099</v>
      </c>
      <c r="H304" s="8" t="inlineStr">
        <is>
          <t>@ZIC X5 20W-50 4 litre best engine oil for cars and all automotives  Synthetic | Crude | Raw</t>
        </is>
      </c>
      <c r="I304" s="8" t="inlineStr">
        <is>
          <t>Daraz</t>
        </is>
      </c>
    </row>
    <row r="305" ht="15" customHeight="1">
      <c r="A305" s="11" t="n">
        <v>301</v>
      </c>
      <c r="B305" s="8" t="inlineStr">
        <is>
          <t>ZIC X5</t>
        </is>
      </c>
      <c r="C305" s="8" t="inlineStr">
        <is>
          <t>20W-50</t>
        </is>
      </c>
      <c r="D305" s="12" t="n">
        <v>4</v>
      </c>
      <c r="E305" s="8" t="inlineStr">
        <is>
          <t>PCMO</t>
        </is>
      </c>
      <c r="F305" s="13" t="n">
        <v>1024.75</v>
      </c>
      <c r="G305" s="13" t="n">
        <v>4099</v>
      </c>
      <c r="H305" s="8" t="inlineStr">
        <is>
          <t>@ZIC X5 20W-50 4 litre best engine oil for cars and all automotives  Synthetic | Crude | Raw2nd</t>
        </is>
      </c>
      <c r="I305" s="8" t="inlineStr">
        <is>
          <t>Daraz</t>
        </is>
      </c>
    </row>
    <row r="306" ht="15" customHeight="1">
      <c r="A306" s="11" t="n">
        <v>302</v>
      </c>
      <c r="B306" s="8" t="inlineStr">
        <is>
          <t>ZIC X5</t>
        </is>
      </c>
      <c r="C306" s="8" t="inlineStr">
        <is>
          <t>20W-50</t>
        </is>
      </c>
      <c r="D306" s="12" t="n">
        <v>4</v>
      </c>
      <c r="E306" s="8" t="inlineStr">
        <is>
          <t>PCMO</t>
        </is>
      </c>
      <c r="F306" s="13" t="n">
        <v>1024.75</v>
      </c>
      <c r="G306" s="13" t="n">
        <v>4099</v>
      </c>
      <c r="H306" s="8" t="inlineStr">
        <is>
          <t>@ZIC X5 20W-50 4 litre best engine oil for cars and all automotives  Synthetic | Crude | Raw2nd</t>
        </is>
      </c>
      <c r="I306" s="8" t="inlineStr">
        <is>
          <t>Daraz</t>
        </is>
      </c>
    </row>
    <row r="307" ht="15" customHeight="1">
      <c r="A307" s="11" t="n">
        <v>303</v>
      </c>
      <c r="B307" s="8" t="inlineStr">
        <is>
          <t>ZIC X5</t>
        </is>
      </c>
      <c r="C307" s="8" t="inlineStr">
        <is>
          <t>20W-50</t>
        </is>
      </c>
      <c r="D307" s="12" t="n">
        <v>4</v>
      </c>
      <c r="E307" s="8" t="inlineStr">
        <is>
          <t>PCMO</t>
        </is>
      </c>
      <c r="F307" s="13" t="n">
        <v>995</v>
      </c>
      <c r="G307" s="13" t="n">
        <v>3980</v>
      </c>
      <c r="H307" s="8" t="inlineStr">
        <is>
          <t>ZIC X5 20W50 PETROL ENGINE OIL 4L</t>
        </is>
      </c>
      <c r="I307" s="8" t="inlineStr">
        <is>
          <t>Daraz</t>
        </is>
      </c>
    </row>
    <row r="308" ht="15" customHeight="1">
      <c r="A308" s="11" t="n">
        <v>304</v>
      </c>
      <c r="B308" s="8" t="inlineStr">
        <is>
          <t>ZIC X5</t>
        </is>
      </c>
      <c r="C308" s="8" t="inlineStr">
        <is>
          <t>20W-50</t>
        </is>
      </c>
      <c r="D308" s="12" t="n">
        <v>4</v>
      </c>
      <c r="E308" s="8" t="inlineStr">
        <is>
          <t>PCMO</t>
        </is>
      </c>
      <c r="F308" s="13" t="n">
        <v>950</v>
      </c>
      <c r="G308" s="13" t="n">
        <v>3800</v>
      </c>
      <c r="H308" s="8" t="inlineStr">
        <is>
          <t>ZIC X5 20W-50 4L Hi Flow</t>
        </is>
      </c>
      <c r="I308" s="8" t="inlineStr">
        <is>
          <t>Daraz</t>
        </is>
      </c>
    </row>
    <row r="309" ht="15" customHeight="1">
      <c r="A309" s="11" t="n">
        <v>305</v>
      </c>
      <c r="B309" s="8" t="inlineStr">
        <is>
          <t>ZIC X5</t>
        </is>
      </c>
      <c r="C309" s="8" t="inlineStr">
        <is>
          <t>20W-50</t>
        </is>
      </c>
      <c r="D309" s="12" t="n">
        <v>4</v>
      </c>
      <c r="E309" s="8" t="inlineStr">
        <is>
          <t>PCMO</t>
        </is>
      </c>
      <c r="F309" s="13" t="n">
        <v>1624.75</v>
      </c>
      <c r="G309" s="13" t="n">
        <v>6499</v>
      </c>
      <c r="H309" s="8" t="inlineStr">
        <is>
          <t>ZIC X5 20W-50 4LITRE SYNTHETIC</t>
        </is>
      </c>
      <c r="I309" s="8" t="inlineStr">
        <is>
          <t>Daraz</t>
        </is>
      </c>
    </row>
    <row r="310" ht="15" customHeight="1">
      <c r="A310" s="11" t="n">
        <v>306</v>
      </c>
      <c r="B310" s="8" t="inlineStr">
        <is>
          <t>ZIC X5</t>
        </is>
      </c>
      <c r="C310" s="8" t="inlineStr">
        <is>
          <t>20W-50</t>
        </is>
      </c>
      <c r="D310" s="12" t="n">
        <v>4</v>
      </c>
      <c r="E310" s="8" t="inlineStr">
        <is>
          <t>PCMO</t>
        </is>
      </c>
      <c r="F310" s="13" t="n">
        <v>1024.75</v>
      </c>
      <c r="G310" s="13" t="n">
        <v>4099</v>
      </c>
      <c r="H310" s="8" t="inlineStr">
        <is>
          <t>@ZIC X5 20W-50 4 litre best engine oil for cars and all automotives  Synthetic | Crude | Raw2nd</t>
        </is>
      </c>
      <c r="I310" s="8" t="inlineStr">
        <is>
          <t>Daraz</t>
        </is>
      </c>
    </row>
    <row r="311" ht="15" customHeight="1">
      <c r="A311" s="11" t="n">
        <v>307</v>
      </c>
      <c r="B311" s="8" t="inlineStr">
        <is>
          <t>ZIC X5</t>
        </is>
      </c>
      <c r="C311" s="8" t="inlineStr">
        <is>
          <t>20W-50</t>
        </is>
      </c>
      <c r="D311" s="12" t="n">
        <v>4</v>
      </c>
      <c r="E311" s="8" t="inlineStr">
        <is>
          <t>PCMO</t>
        </is>
      </c>
      <c r="F311" s="13" t="n">
        <v>1024.75</v>
      </c>
      <c r="G311" s="13" t="n">
        <v>4099</v>
      </c>
      <c r="H311" s="8" t="inlineStr">
        <is>
          <t>@ZIC X5 20W-50 4 litre best engine oil for cars and all automotives  Synthetic | Crude | Raw2nd</t>
        </is>
      </c>
      <c r="I311" s="8" t="inlineStr">
        <is>
          <t>Daraz</t>
        </is>
      </c>
    </row>
    <row r="312" ht="15" customHeight="1">
      <c r="A312" s="11" t="n">
        <v>308</v>
      </c>
      <c r="B312" s="8" t="inlineStr">
        <is>
          <t>ZIC X5</t>
        </is>
      </c>
      <c r="C312" s="8" t="inlineStr">
        <is>
          <t>20W-50</t>
        </is>
      </c>
      <c r="D312" s="12" t="n">
        <v>4</v>
      </c>
      <c r="E312" s="8" t="inlineStr">
        <is>
          <t>PCMO</t>
        </is>
      </c>
      <c r="F312" s="13" t="n">
        <v>1024.75</v>
      </c>
      <c r="G312" s="13" t="n">
        <v>4099</v>
      </c>
      <c r="H312" s="8" t="inlineStr">
        <is>
          <t>@ZIC X5 20W-50 4 litre best engine oil for cars and all automotives  Synthetic | Crude | Raw</t>
        </is>
      </c>
      <c r="I312" s="8" t="inlineStr">
        <is>
          <t>Daraz</t>
        </is>
      </c>
    </row>
    <row r="313" ht="15" customHeight="1">
      <c r="A313" s="11" t="n">
        <v>309</v>
      </c>
      <c r="B313" s="8" t="inlineStr">
        <is>
          <t>ZIC X5</t>
        </is>
      </c>
      <c r="C313" s="8" t="inlineStr">
        <is>
          <t>20W-50</t>
        </is>
      </c>
      <c r="D313" s="12" t="n">
        <v>4</v>
      </c>
      <c r="E313" s="8" t="inlineStr">
        <is>
          <t>PCMO</t>
        </is>
      </c>
      <c r="F313" s="13" t="n">
        <v>950</v>
      </c>
      <c r="G313" s="13" t="n">
        <v>3800</v>
      </c>
      <c r="H313" s="8" t="inlineStr">
        <is>
          <t>ZIC X5 20W-50 4L Hi Flow</t>
        </is>
      </c>
      <c r="I313" s="8" t="inlineStr">
        <is>
          <t>Daraz</t>
        </is>
      </c>
    </row>
    <row r="314" ht="15" customHeight="1">
      <c r="A314" s="11" t="n">
        <v>310</v>
      </c>
      <c r="B314" s="8" t="inlineStr">
        <is>
          <t>ZIC X5</t>
        </is>
      </c>
      <c r="C314" s="8" t="inlineStr">
        <is>
          <t>20W-50</t>
        </is>
      </c>
      <c r="D314" s="12" t="n">
        <v>4</v>
      </c>
      <c r="E314" s="8" t="inlineStr">
        <is>
          <t>PCMO</t>
        </is>
      </c>
      <c r="F314" s="13" t="n">
        <v>995</v>
      </c>
      <c r="G314" s="13" t="n">
        <v>3980</v>
      </c>
      <c r="H314" s="8" t="inlineStr">
        <is>
          <t>ZIC X5 20W-50 4L Hi Flow</t>
        </is>
      </c>
      <c r="I314" s="8" t="inlineStr">
        <is>
          <t>Daraz</t>
        </is>
      </c>
    </row>
    <row r="315" ht="15" customHeight="1">
      <c r="A315" s="11" t="n">
        <v>311</v>
      </c>
      <c r="B315" s="8" t="inlineStr">
        <is>
          <t>ZIC X5</t>
        </is>
      </c>
      <c r="C315" s="8" t="inlineStr">
        <is>
          <t>20W-50</t>
        </is>
      </c>
      <c r="D315" s="12" t="n">
        <v>4</v>
      </c>
      <c r="E315" s="8" t="inlineStr">
        <is>
          <t>PCMO</t>
        </is>
      </c>
      <c r="F315" s="13" t="n">
        <v>995</v>
      </c>
      <c r="G315" s="13" t="n">
        <v>3980</v>
      </c>
      <c r="H315" s="8" t="inlineStr">
        <is>
          <t>ZIC X5 20W50 PETROL ENGINE OIL 4L</t>
        </is>
      </c>
      <c r="I315" s="8" t="inlineStr">
        <is>
          <t>Daraz</t>
        </is>
      </c>
    </row>
    <row r="316" ht="15" customHeight="1">
      <c r="A316" s="11" t="n">
        <v>312</v>
      </c>
      <c r="B316" s="8" t="inlineStr">
        <is>
          <t>ZIC X5</t>
        </is>
      </c>
      <c r="C316" s="8" t="inlineStr">
        <is>
          <t>20W-50</t>
        </is>
      </c>
      <c r="D316" s="12" t="n">
        <v>4</v>
      </c>
      <c r="E316" s="8" t="inlineStr">
        <is>
          <t>PCMO</t>
        </is>
      </c>
      <c r="F316" s="13" t="n">
        <v>995</v>
      </c>
      <c r="G316" s="13" t="n">
        <v>3980</v>
      </c>
      <c r="H316" s="8" t="inlineStr">
        <is>
          <t>ZIC X5 20W-50 4L Hi Flow</t>
        </is>
      </c>
      <c r="I316" s="8" t="inlineStr">
        <is>
          <t>Daraz</t>
        </is>
      </c>
    </row>
    <row r="317" ht="15" customHeight="1">
      <c r="A317" s="11" t="n">
        <v>313</v>
      </c>
      <c r="B317" s="8" t="inlineStr">
        <is>
          <t>ZIC X5</t>
        </is>
      </c>
      <c r="C317" s="8" t="inlineStr">
        <is>
          <t>20W-50</t>
        </is>
      </c>
      <c r="D317" s="12" t="n">
        <v>4</v>
      </c>
      <c r="E317" s="8" t="inlineStr">
        <is>
          <t>PCMO</t>
        </is>
      </c>
      <c r="F317" s="13" t="n">
        <v>1024.75</v>
      </c>
      <c r="G317" s="13" t="n">
        <v>4099</v>
      </c>
      <c r="H317" s="8" t="inlineStr">
        <is>
          <t>@ZIC X5 20W-50 4 litre best engine oil for cars and all automotives  Synthetic | Crude | Raw</t>
        </is>
      </c>
      <c r="I317" s="8" t="inlineStr">
        <is>
          <t>Daraz</t>
        </is>
      </c>
    </row>
    <row r="318" ht="15" customHeight="1">
      <c r="A318" s="11" t="n">
        <v>314</v>
      </c>
      <c r="B318" s="8" t="inlineStr">
        <is>
          <t>ZIC X5</t>
        </is>
      </c>
      <c r="C318" s="8" t="inlineStr">
        <is>
          <t>20W-50</t>
        </is>
      </c>
      <c r="D318" s="12" t="n">
        <v>4</v>
      </c>
      <c r="E318" s="8" t="inlineStr">
        <is>
          <t>PCMO</t>
        </is>
      </c>
      <c r="F318" s="13" t="n">
        <v>1024.75</v>
      </c>
      <c r="G318" s="13" t="n">
        <v>4099</v>
      </c>
      <c r="H318" s="8" t="inlineStr">
        <is>
          <t>@ZIC X5 20W-50 4 litre best engine oil for cars and all automotives  Synthetic | Crude | Raw</t>
        </is>
      </c>
      <c r="I318" s="8" t="inlineStr">
        <is>
          <t>Daraz</t>
        </is>
      </c>
    </row>
    <row r="319" ht="15" customHeight="1">
      <c r="A319" s="11" t="n">
        <v>315</v>
      </c>
      <c r="B319" s="8" t="inlineStr">
        <is>
          <t>ZIC X5</t>
        </is>
      </c>
      <c r="C319" s="8" t="inlineStr">
        <is>
          <t>20W-50</t>
        </is>
      </c>
      <c r="D319" s="12" t="n">
        <v>4</v>
      </c>
      <c r="E319" s="8" t="inlineStr">
        <is>
          <t>PCMO</t>
        </is>
      </c>
      <c r="F319" s="13" t="n">
        <v>995</v>
      </c>
      <c r="G319" s="13" t="n">
        <v>3980</v>
      </c>
      <c r="H319" s="8" t="inlineStr">
        <is>
          <t>ZIC X5 20W-50 4L Hi Flow</t>
        </is>
      </c>
      <c r="I319" s="8" t="inlineStr">
        <is>
          <t>Daraz</t>
        </is>
      </c>
    </row>
    <row r="320" ht="15" customHeight="1">
      <c r="A320" s="11" t="n">
        <v>316</v>
      </c>
      <c r="B320" s="8" t="inlineStr">
        <is>
          <t>ZIC</t>
        </is>
      </c>
      <c r="C320" s="8" t="inlineStr">
        <is>
          <t>5W-20</t>
        </is>
      </c>
      <c r="D320" s="12" t="n">
        <v>3</v>
      </c>
      <c r="E320" s="8" t="inlineStr">
        <is>
          <t>PCMO</t>
        </is>
      </c>
      <c r="F320" s="13" t="n">
        <v>1833.33</v>
      </c>
      <c r="G320" s="13" t="n">
        <v>5500</v>
      </c>
      <c r="H320" s="8" t="inlineStr">
        <is>
          <t>Zic - X7 FE 5W-20 Petrol Engine Oil - 3L</t>
        </is>
      </c>
      <c r="I320" s="8" t="inlineStr">
        <is>
          <t>Daraz</t>
        </is>
      </c>
    </row>
    <row r="321" ht="15" customHeight="1">
      <c r="A321" s="11" t="n">
        <v>317</v>
      </c>
      <c r="B321" s="8" t="inlineStr">
        <is>
          <t>ZIC</t>
        </is>
      </c>
      <c r="C321" s="8" t="inlineStr">
        <is>
          <t>5W-20</t>
        </is>
      </c>
      <c r="D321" s="12" t="n">
        <v>3</v>
      </c>
      <c r="E321" s="8" t="inlineStr">
        <is>
          <t>PCMO</t>
        </is>
      </c>
      <c r="F321" s="13" t="n">
        <v>1833.33</v>
      </c>
      <c r="G321" s="13" t="n">
        <v>5500</v>
      </c>
      <c r="H321" s="8" t="inlineStr">
        <is>
          <t>Zic - X7 FE 5W-20 Petrol Engine Oil - 3L</t>
        </is>
      </c>
      <c r="I321" s="8" t="inlineStr">
        <is>
          <t>Daraz</t>
        </is>
      </c>
    </row>
    <row r="322" ht="15" customHeight="1">
      <c r="A322" s="11" t="n">
        <v>318</v>
      </c>
      <c r="B322" s="8" t="inlineStr">
        <is>
          <t>ZIC</t>
        </is>
      </c>
      <c r="C322" s="8" t="inlineStr">
        <is>
          <t>5W-20</t>
        </is>
      </c>
      <c r="D322" s="12" t="n">
        <v>3</v>
      </c>
      <c r="E322" s="8" t="inlineStr">
        <is>
          <t>PCMO</t>
        </is>
      </c>
      <c r="F322" s="13" t="n">
        <v>1833.33</v>
      </c>
      <c r="G322" s="13" t="n">
        <v>5500</v>
      </c>
      <c r="H322" s="8" t="inlineStr">
        <is>
          <t>Zic - X7 FE 5W-20 Petrol Engine Oil - 3L</t>
        </is>
      </c>
      <c r="I322" s="8" t="inlineStr">
        <is>
          <t>Daraz</t>
        </is>
      </c>
    </row>
    <row r="323" ht="15" customHeight="1">
      <c r="A323" s="11" t="n">
        <v>319</v>
      </c>
      <c r="B323" s="8" t="inlineStr">
        <is>
          <t>ZIC</t>
        </is>
      </c>
      <c r="C323" s="8" t="inlineStr">
        <is>
          <t>5W-20</t>
        </is>
      </c>
      <c r="D323" s="12" t="n">
        <v>3</v>
      </c>
      <c r="E323" s="8" t="inlineStr">
        <is>
          <t>PCMO</t>
        </is>
      </c>
      <c r="F323" s="13" t="n">
        <v>1833.33</v>
      </c>
      <c r="G323" s="13" t="n">
        <v>5500</v>
      </c>
      <c r="H323" s="8" t="inlineStr">
        <is>
          <t>Zic - X7 FE 5W-20 Petrol Engine Oil - 3L</t>
        </is>
      </c>
      <c r="I323" s="8" t="inlineStr">
        <is>
          <t>Daraz</t>
        </is>
      </c>
    </row>
    <row r="324" ht="15" customHeight="1">
      <c r="A324" s="11" t="n">
        <v>320</v>
      </c>
      <c r="B324" s="8" t="inlineStr">
        <is>
          <t>ZIC X7</t>
        </is>
      </c>
      <c r="C324" s="8" t="inlineStr">
        <is>
          <t>5W-20</t>
        </is>
      </c>
      <c r="D324" s="12" t="n">
        <v>4</v>
      </c>
      <c r="E324" s="8" t="inlineStr">
        <is>
          <t>PCMO</t>
        </is>
      </c>
      <c r="F324" s="13" t="n">
        <v>2400</v>
      </c>
      <c r="G324" s="13" t="n">
        <v>9600</v>
      </c>
      <c r="H324" s="8" t="inlineStr">
        <is>
          <t>ZIC X7 FE 5W-20 Engine Oil 4L Fully Synthetic | Fuel Economy | For Honda Toyota Suzuki</t>
        </is>
      </c>
      <c r="I324" s="8" t="inlineStr">
        <is>
          <t>Daraz</t>
        </is>
      </c>
    </row>
    <row r="325" ht="15" customHeight="1">
      <c r="A325" s="11" t="n">
        <v>321</v>
      </c>
      <c r="B325" s="8" t="inlineStr">
        <is>
          <t>ZIC X7</t>
        </is>
      </c>
      <c r="C325" s="8" t="inlineStr">
        <is>
          <t>5W-20</t>
        </is>
      </c>
      <c r="D325" s="12" t="n">
        <v>4</v>
      </c>
      <c r="E325" s="8" t="inlineStr">
        <is>
          <t>PCMO</t>
        </is>
      </c>
      <c r="F325" s="13" t="n">
        <v>1900</v>
      </c>
      <c r="G325" s="13" t="n">
        <v>7600</v>
      </c>
      <c r="H325" s="8" t="inlineStr">
        <is>
          <t>ZIC X7  (5W20)     4L        fully santhatic</t>
        </is>
      </c>
      <c r="I325" s="8" t="inlineStr">
        <is>
          <t>Daraz</t>
        </is>
      </c>
    </row>
    <row r="326" ht="15" customHeight="1">
      <c r="A326" s="11" t="n">
        <v>322</v>
      </c>
      <c r="B326" s="8" t="inlineStr">
        <is>
          <t>ZIC X7</t>
        </is>
      </c>
      <c r="C326" s="8" t="inlineStr">
        <is>
          <t>5W-20</t>
        </is>
      </c>
      <c r="D326" s="12" t="n">
        <v>4</v>
      </c>
      <c r="E326" s="8" t="inlineStr">
        <is>
          <t>PCMO</t>
        </is>
      </c>
      <c r="F326" s="13" t="n">
        <v>2400</v>
      </c>
      <c r="G326" s="13" t="n">
        <v>9600</v>
      </c>
      <c r="H326" s="8" t="inlineStr">
        <is>
          <t>ZIC X7 FE 5W-20 Engine Oil 4L Fully Synthetic | Fuel Economy | For Honda Toyota Suzuki</t>
        </is>
      </c>
      <c r="I326" s="8" t="inlineStr">
        <is>
          <t>Daraz</t>
        </is>
      </c>
    </row>
    <row r="327" ht="15" customHeight="1">
      <c r="A327" s="11" t="n">
        <v>323</v>
      </c>
      <c r="B327" s="8" t="inlineStr">
        <is>
          <t>ZIC X7</t>
        </is>
      </c>
      <c r="C327" s="8" t="inlineStr">
        <is>
          <t>5W-20</t>
        </is>
      </c>
      <c r="D327" s="12" t="n">
        <v>4</v>
      </c>
      <c r="E327" s="8" t="inlineStr">
        <is>
          <t>PCMO</t>
        </is>
      </c>
      <c r="F327" s="13" t="n">
        <v>1900</v>
      </c>
      <c r="G327" s="13" t="n">
        <v>7600</v>
      </c>
      <c r="H327" s="8" t="inlineStr">
        <is>
          <t>ZIC X7  (5W20)     4L        fully santhatic</t>
        </is>
      </c>
      <c r="I327" s="8" t="inlineStr">
        <is>
          <t>Daraz</t>
        </is>
      </c>
    </row>
    <row r="328" ht="15" customHeight="1">
      <c r="A328" s="11" t="n">
        <v>324</v>
      </c>
      <c r="B328" s="8" t="inlineStr">
        <is>
          <t>ZIC X7</t>
        </is>
      </c>
      <c r="C328" s="8" t="inlineStr">
        <is>
          <t>5W-20</t>
        </is>
      </c>
      <c r="D328" s="12" t="n">
        <v>4</v>
      </c>
      <c r="E328" s="8" t="inlineStr">
        <is>
          <t>PCMO</t>
        </is>
      </c>
      <c r="F328" s="13" t="n">
        <v>1900</v>
      </c>
      <c r="G328" s="13" t="n">
        <v>7600</v>
      </c>
      <c r="H328" s="8" t="inlineStr">
        <is>
          <t>ZIC X7  (5W20)     4L        fully santhatic</t>
        </is>
      </c>
      <c r="I328" s="8" t="inlineStr">
        <is>
          <t>Daraz</t>
        </is>
      </c>
    </row>
    <row r="329" ht="15" customHeight="1">
      <c r="A329" s="11" t="n">
        <v>325</v>
      </c>
      <c r="B329" s="8" t="inlineStr">
        <is>
          <t>Kixx</t>
        </is>
      </c>
      <c r="C329" s="8" t="inlineStr">
        <is>
          <t>5W-30</t>
        </is>
      </c>
      <c r="D329" s="12" t="n">
        <v>4</v>
      </c>
      <c r="E329" s="8" t="inlineStr">
        <is>
          <t>PCMO</t>
        </is>
      </c>
      <c r="F329" s="13" t="n">
        <v>1125</v>
      </c>
      <c r="G329" s="13" t="n">
        <v>4500</v>
      </c>
      <c r="H329" s="8" t="inlineStr">
        <is>
          <t>Kixx GX7 (formerly G1) SN PLUS 5W30 4L Gasoline Engine Oil NEW BOTTLE</t>
        </is>
      </c>
      <c r="I329" s="8" t="inlineStr">
        <is>
          <t>Daraz</t>
        </is>
      </c>
    </row>
    <row r="330" ht="15" customHeight="1">
      <c r="A330" s="11" t="n">
        <v>326</v>
      </c>
      <c r="B330" s="8" t="inlineStr">
        <is>
          <t>Kixx</t>
        </is>
      </c>
      <c r="C330" s="8" t="inlineStr">
        <is>
          <t>5W-30</t>
        </is>
      </c>
      <c r="D330" s="12" t="n">
        <v>4</v>
      </c>
      <c r="E330" s="8" t="inlineStr">
        <is>
          <t>PCMO</t>
        </is>
      </c>
      <c r="F330" s="13" t="n">
        <v>1275</v>
      </c>
      <c r="G330" s="13" t="n">
        <v>5100</v>
      </c>
      <c r="H330" s="8" t="inlineStr">
        <is>
          <t>Kixx GX7 SN PLUS 5W30 4L Gasoline Engine Oil</t>
        </is>
      </c>
      <c r="I330" s="8" t="inlineStr">
        <is>
          <t>Daraz</t>
        </is>
      </c>
    </row>
    <row r="331" ht="15" customHeight="1">
      <c r="A331" s="11" t="n">
        <v>327</v>
      </c>
      <c r="B331" s="8" t="inlineStr">
        <is>
          <t>Kixx</t>
        </is>
      </c>
      <c r="C331" s="8" t="inlineStr">
        <is>
          <t>5W-30</t>
        </is>
      </c>
      <c r="D331" s="12" t="n">
        <v>4</v>
      </c>
      <c r="E331" s="8" t="inlineStr">
        <is>
          <t>PCMO</t>
        </is>
      </c>
      <c r="F331" s="13" t="n">
        <v>1019</v>
      </c>
      <c r="G331" s="13" t="n">
        <v>4076</v>
      </c>
      <c r="H331" s="8" t="inlineStr">
        <is>
          <t>Kixx GX7 (formerly G1) SN PLUS 5W30 4L Gasoline Engine Oil NEW BOTTLE</t>
        </is>
      </c>
      <c r="I331" s="8" t="inlineStr">
        <is>
          <t>Daraz</t>
        </is>
      </c>
    </row>
    <row r="332" ht="15" customHeight="1">
      <c r="A332" s="11" t="n">
        <v>328</v>
      </c>
      <c r="B332" s="8" t="inlineStr">
        <is>
          <t>Kixx</t>
        </is>
      </c>
      <c r="C332" s="8" t="inlineStr">
        <is>
          <t>5W-30</t>
        </is>
      </c>
      <c r="D332" s="12" t="n">
        <v>4</v>
      </c>
      <c r="E332" s="8" t="inlineStr">
        <is>
          <t>PCMO</t>
        </is>
      </c>
      <c r="F332" s="13" t="n">
        <v>1125</v>
      </c>
      <c r="G332" s="13" t="n">
        <v>4500</v>
      </c>
      <c r="H332" s="8" t="inlineStr">
        <is>
          <t>Kixx GX7 (formerly G1) SN PLUS 5W30 4L Gasoline Engine Oil NEW BOTTLE</t>
        </is>
      </c>
      <c r="I332" s="8" t="inlineStr">
        <is>
          <t>Daraz</t>
        </is>
      </c>
    </row>
    <row r="333" ht="15" customHeight="1">
      <c r="A333" s="11" t="n">
        <v>329</v>
      </c>
      <c r="B333" s="8" t="inlineStr">
        <is>
          <t>Kixx</t>
        </is>
      </c>
      <c r="C333" s="8" t="inlineStr">
        <is>
          <t>5W-30</t>
        </is>
      </c>
      <c r="D333" s="12" t="n">
        <v>4</v>
      </c>
      <c r="E333" s="8" t="inlineStr">
        <is>
          <t>PCMO</t>
        </is>
      </c>
      <c r="F333" s="13" t="n">
        <v>1275</v>
      </c>
      <c r="G333" s="13" t="n">
        <v>5100</v>
      </c>
      <c r="H333" s="8" t="inlineStr">
        <is>
          <t>Kixx GX7 SN PLUS 5W30 4L Gasoline Engine Oil</t>
        </is>
      </c>
      <c r="I333" s="8" t="inlineStr">
        <is>
          <t>Daraz</t>
        </is>
      </c>
    </row>
    <row r="334" ht="15" customHeight="1">
      <c r="A334" s="11" t="n">
        <v>330</v>
      </c>
      <c r="B334" s="8" t="inlineStr">
        <is>
          <t>Kixx</t>
        </is>
      </c>
      <c r="C334" s="8" t="inlineStr">
        <is>
          <t>5W-30</t>
        </is>
      </c>
      <c r="D334" s="12" t="n">
        <v>4</v>
      </c>
      <c r="E334" s="8" t="inlineStr">
        <is>
          <t>PCMO</t>
        </is>
      </c>
      <c r="F334" s="13" t="n">
        <v>1019</v>
      </c>
      <c r="G334" s="13" t="n">
        <v>4076</v>
      </c>
      <c r="H334" s="8" t="inlineStr">
        <is>
          <t>Kixx GX7 (formerly G1) SN PLUS 5W30 4L Gasoline Engine Oil NEW BOTTLE</t>
        </is>
      </c>
      <c r="I334" s="8" t="inlineStr">
        <is>
          <t>Daraz</t>
        </is>
      </c>
    </row>
    <row r="335" ht="15" customHeight="1">
      <c r="A335" s="11" t="n">
        <v>331</v>
      </c>
      <c r="B335" s="8" t="inlineStr">
        <is>
          <t>Kixx</t>
        </is>
      </c>
      <c r="C335" s="8" t="inlineStr">
        <is>
          <t>5W-30</t>
        </is>
      </c>
      <c r="D335" s="12" t="n">
        <v>4</v>
      </c>
      <c r="E335" s="8" t="inlineStr">
        <is>
          <t>PCMO</t>
        </is>
      </c>
      <c r="F335" s="13" t="n">
        <v>1019</v>
      </c>
      <c r="G335" s="13" t="n">
        <v>4076</v>
      </c>
      <c r="H335" s="8" t="inlineStr">
        <is>
          <t>Kixx GX7 (formerly G1) SN PLUS 5W30 4L Gasoline Engine Oil NEW BOTTLE</t>
        </is>
      </c>
      <c r="I335" s="8" t="inlineStr">
        <is>
          <t>Daraz</t>
        </is>
      </c>
    </row>
    <row r="336" ht="15" customHeight="1">
      <c r="A336" s="11" t="n">
        <v>332</v>
      </c>
      <c r="B336" s="8" t="inlineStr">
        <is>
          <t>Kixx</t>
        </is>
      </c>
      <c r="C336" s="8" t="inlineStr">
        <is>
          <t>5W-30</t>
        </is>
      </c>
      <c r="D336" s="12" t="n">
        <v>4</v>
      </c>
      <c r="E336" s="8" t="inlineStr">
        <is>
          <t>PCMO</t>
        </is>
      </c>
      <c r="F336" s="13" t="n">
        <v>1125</v>
      </c>
      <c r="G336" s="13" t="n">
        <v>4500</v>
      </c>
      <c r="H336" s="8" t="inlineStr">
        <is>
          <t>Kixx GX7 (formerly G1) SN PLUS 5W30 4L Gasoline Engine Oil NEW BOTTLE</t>
        </is>
      </c>
      <c r="I336" s="8" t="inlineStr">
        <is>
          <t>Daraz</t>
        </is>
      </c>
    </row>
    <row r="337" ht="15" customHeight="1">
      <c r="A337" s="11" t="n">
        <v>333</v>
      </c>
      <c r="B337" s="8" t="inlineStr">
        <is>
          <t>Kixx</t>
        </is>
      </c>
      <c r="C337" s="8" t="inlineStr">
        <is>
          <t>5W-30</t>
        </is>
      </c>
      <c r="D337" s="12" t="n">
        <v>4</v>
      </c>
      <c r="E337" s="8" t="inlineStr">
        <is>
          <t>PCMO</t>
        </is>
      </c>
      <c r="F337" s="13" t="n">
        <v>1325</v>
      </c>
      <c r="G337" s="13" t="n">
        <v>5300</v>
      </c>
      <c r="H337" s="8" t="inlineStr">
        <is>
          <t>Kixx GX7 (formerly G1) SN PLUS 5W30 4L Gasoline Engine Oil NEW BOTTLE</t>
        </is>
      </c>
      <c r="I337" s="8" t="inlineStr">
        <is>
          <t>Daraz</t>
        </is>
      </c>
    </row>
    <row r="338" ht="15" customHeight="1">
      <c r="A338" s="11" t="n">
        <v>334</v>
      </c>
      <c r="B338" s="8" t="inlineStr">
        <is>
          <t>Kixx</t>
        </is>
      </c>
      <c r="C338" s="8" t="inlineStr">
        <is>
          <t>5W-30</t>
        </is>
      </c>
      <c r="D338" s="12" t="n">
        <v>4</v>
      </c>
      <c r="E338" s="8" t="inlineStr">
        <is>
          <t>PCMO</t>
        </is>
      </c>
      <c r="F338" s="13" t="n">
        <v>1019</v>
      </c>
      <c r="G338" s="13" t="n">
        <v>4076</v>
      </c>
      <c r="H338" s="8" t="inlineStr">
        <is>
          <t>Kixx GX7 (formerly G1) SN PLUS 5W30 4L Gasoline Engine Oil NEW BOTTLE</t>
        </is>
      </c>
      <c r="I338" s="8" t="inlineStr">
        <is>
          <t>Daraz</t>
        </is>
      </c>
    </row>
    <row r="339" ht="15" customHeight="1">
      <c r="A339" s="11" t="n">
        <v>335</v>
      </c>
      <c r="B339" s="8" t="inlineStr">
        <is>
          <t>Kixx</t>
        </is>
      </c>
      <c r="C339" s="8" t="inlineStr">
        <is>
          <t>5W-30</t>
        </is>
      </c>
      <c r="D339" s="12" t="n">
        <v>4</v>
      </c>
      <c r="E339" s="8" t="inlineStr">
        <is>
          <t>PCMO</t>
        </is>
      </c>
      <c r="F339" s="13" t="n">
        <v>1019</v>
      </c>
      <c r="G339" s="13" t="n">
        <v>4076</v>
      </c>
      <c r="H339" s="8" t="inlineStr">
        <is>
          <t>Kixx GX7 (formerly G1) SN PLUS 5W30 4L Gasoline Engine Oil NEW BOTTLE</t>
        </is>
      </c>
      <c r="I339" s="8" t="inlineStr">
        <is>
          <t>Daraz</t>
        </is>
      </c>
    </row>
    <row r="340" ht="15" customHeight="1">
      <c r="A340" s="11" t="n">
        <v>336</v>
      </c>
      <c r="B340" s="8" t="inlineStr">
        <is>
          <t>Kixx G1</t>
        </is>
      </c>
      <c r="C340" s="8" t="inlineStr">
        <is>
          <t>5W-30</t>
        </is>
      </c>
      <c r="D340" s="12" t="n">
        <v>3</v>
      </c>
      <c r="E340" s="8" t="inlineStr">
        <is>
          <t>PCMO</t>
        </is>
      </c>
      <c r="F340" s="13" t="n">
        <v>1466.33</v>
      </c>
      <c r="G340" s="13" t="n">
        <v>4399</v>
      </c>
      <c r="H340" s="8" t="inlineStr">
        <is>
          <t>KIXX G1 5W30 3Liter fully synthetic Engine oil made for cars</t>
        </is>
      </c>
      <c r="I340" s="8" t="inlineStr">
        <is>
          <t>Daraz</t>
        </is>
      </c>
    </row>
    <row r="341" ht="15" customHeight="1">
      <c r="A341" s="11" t="n">
        <v>337</v>
      </c>
      <c r="B341" s="8" t="inlineStr">
        <is>
          <t>Kixx G1</t>
        </is>
      </c>
      <c r="C341" s="8" t="inlineStr">
        <is>
          <t>5W-30</t>
        </is>
      </c>
      <c r="D341" s="12" t="n">
        <v>3</v>
      </c>
      <c r="E341" s="8" t="inlineStr">
        <is>
          <t>PCMO</t>
        </is>
      </c>
      <c r="F341" s="13" t="n">
        <v>1466.33</v>
      </c>
      <c r="G341" s="13" t="n">
        <v>4399</v>
      </c>
      <c r="H341" s="8" t="inlineStr">
        <is>
          <t>KIXX G1 5W30 3Liter fully synthetic Engine oil made for cars</t>
        </is>
      </c>
      <c r="I341" s="8" t="inlineStr">
        <is>
          <t>Daraz</t>
        </is>
      </c>
    </row>
    <row r="342" ht="15" customHeight="1">
      <c r="A342" s="11" t="n">
        <v>338</v>
      </c>
      <c r="B342" s="8" t="inlineStr">
        <is>
          <t>Kixx G1</t>
        </is>
      </c>
      <c r="C342" s="8" t="inlineStr">
        <is>
          <t>5W-30</t>
        </is>
      </c>
      <c r="D342" s="12" t="n">
        <v>4</v>
      </c>
      <c r="E342" s="8" t="inlineStr">
        <is>
          <t>PCMO</t>
        </is>
      </c>
      <c r="F342" s="13" t="n">
        <v>1500</v>
      </c>
      <c r="G342" s="13" t="n">
        <v>6000</v>
      </c>
      <c r="H342" s="8" t="inlineStr">
        <is>
          <t>KIXX G1 5W30 PETROL OIL 4L</t>
        </is>
      </c>
      <c r="I342" s="8" t="inlineStr">
        <is>
          <t>Daraz</t>
        </is>
      </c>
    </row>
    <row r="343" ht="15" customHeight="1">
      <c r="A343" s="11" t="n">
        <v>339</v>
      </c>
      <c r="B343" s="8" t="inlineStr">
        <is>
          <t>Shell Helix HX7</t>
        </is>
      </c>
      <c r="C343" s="8" t="inlineStr">
        <is>
          <t>5W-30</t>
        </is>
      </c>
      <c r="D343" s="12" t="n">
        <v>4</v>
      </c>
      <c r="E343" s="8" t="inlineStr">
        <is>
          <t>PCMO</t>
        </is>
      </c>
      <c r="F343" s="13" t="n">
        <v>930</v>
      </c>
      <c r="G343" s="13" t="n">
        <v>3720</v>
      </c>
      <c r="H343" s="8" t="inlineStr">
        <is>
          <t>Shell Helix HX7 Plus 5W30 4 Liter</t>
        </is>
      </c>
      <c r="I343" s="8" t="inlineStr">
        <is>
          <t>Daraz</t>
        </is>
      </c>
    </row>
    <row r="344" ht="15" customHeight="1">
      <c r="A344" s="11" t="n">
        <v>340</v>
      </c>
      <c r="B344" s="8" t="inlineStr">
        <is>
          <t>Shell Helix HX7</t>
        </is>
      </c>
      <c r="C344" s="8" t="inlineStr">
        <is>
          <t>5W-30</t>
        </is>
      </c>
      <c r="D344" s="12" t="n">
        <v>4</v>
      </c>
      <c r="E344" s="8" t="inlineStr">
        <is>
          <t>PCMO</t>
        </is>
      </c>
      <c r="F344" s="13" t="n">
        <v>930</v>
      </c>
      <c r="G344" s="13" t="n">
        <v>3720</v>
      </c>
      <c r="H344" s="8" t="inlineStr">
        <is>
          <t>Shell Helix HX7 Plus 5W30 4 Liter</t>
        </is>
      </c>
      <c r="I344" s="8" t="inlineStr">
        <is>
          <t>Daraz</t>
        </is>
      </c>
    </row>
    <row r="345" ht="15" customHeight="1">
      <c r="A345" s="11" t="n">
        <v>341</v>
      </c>
      <c r="B345" s="8" t="inlineStr">
        <is>
          <t>Total</t>
        </is>
      </c>
      <c r="C345" s="8" t="inlineStr">
        <is>
          <t>5W-30</t>
        </is>
      </c>
      <c r="D345" s="12" t="n">
        <v>3</v>
      </c>
      <c r="E345" s="8" t="inlineStr">
        <is>
          <t>PCMO</t>
        </is>
      </c>
      <c r="F345" s="13" t="n">
        <v>1130</v>
      </c>
      <c r="G345" s="13" t="n">
        <v>3390</v>
      </c>
      <c r="H345" s="8" t="inlineStr">
        <is>
          <t>Total Parco Quartz 9000 Future GF6 5W-30 SP Engine Oil - 3L</t>
        </is>
      </c>
      <c r="I345" s="8" t="inlineStr">
        <is>
          <t>Daraz</t>
        </is>
      </c>
    </row>
    <row r="346" ht="15" customHeight="1">
      <c r="A346" s="11" t="n">
        <v>342</v>
      </c>
      <c r="B346" s="8" t="inlineStr">
        <is>
          <t>Total</t>
        </is>
      </c>
      <c r="C346" s="8" t="inlineStr">
        <is>
          <t>5W-30</t>
        </is>
      </c>
      <c r="D346" s="12" t="n">
        <v>3</v>
      </c>
      <c r="E346" s="8" t="inlineStr">
        <is>
          <t>PCMO</t>
        </is>
      </c>
      <c r="F346" s="13" t="n">
        <v>1130</v>
      </c>
      <c r="G346" s="13" t="n">
        <v>3390</v>
      </c>
      <c r="H346" s="8" t="inlineStr">
        <is>
          <t>Total Parco Quartz 9000 Future GF6 5W-30 SP Engine Oil - 3L</t>
        </is>
      </c>
      <c r="I346" s="8" t="inlineStr">
        <is>
          <t>Daraz</t>
        </is>
      </c>
    </row>
    <row r="347" ht="15" customHeight="1">
      <c r="A347" s="11" t="n">
        <v>343</v>
      </c>
      <c r="B347" s="8" t="inlineStr">
        <is>
          <t>Total</t>
        </is>
      </c>
      <c r="C347" s="8" t="inlineStr">
        <is>
          <t>5W-30</t>
        </is>
      </c>
      <c r="D347" s="12" t="n">
        <v>3</v>
      </c>
      <c r="E347" s="8" t="inlineStr">
        <is>
          <t>PCMO</t>
        </is>
      </c>
      <c r="F347" s="13" t="n">
        <v>996.67</v>
      </c>
      <c r="G347" s="13" t="n">
        <v>2990</v>
      </c>
      <c r="H347" s="8" t="inlineStr">
        <is>
          <t>Total Parco Quartz 9000 Future GF6 5W-30 SP Engine Oil - 3L</t>
        </is>
      </c>
      <c r="I347" s="8" t="inlineStr">
        <is>
          <t>Daraz</t>
        </is>
      </c>
    </row>
    <row r="348" ht="15" customHeight="1">
      <c r="A348" s="11" t="n">
        <v>344</v>
      </c>
      <c r="B348" s="8" t="inlineStr">
        <is>
          <t>Total</t>
        </is>
      </c>
      <c r="C348" s="8" t="inlineStr">
        <is>
          <t>5W-30</t>
        </is>
      </c>
      <c r="D348" s="12" t="n">
        <v>3</v>
      </c>
      <c r="E348" s="8" t="inlineStr">
        <is>
          <t>PCMO</t>
        </is>
      </c>
      <c r="F348" s="13" t="n">
        <v>1130</v>
      </c>
      <c r="G348" s="13" t="n">
        <v>3390</v>
      </c>
      <c r="H348" s="8" t="inlineStr">
        <is>
          <t>Total Parco Quartz 9000 Future GF6 5W-30 SP Engine Oil - 3L</t>
        </is>
      </c>
      <c r="I348" s="8" t="inlineStr">
        <is>
          <t>Daraz</t>
        </is>
      </c>
    </row>
    <row r="349" ht="15" customHeight="1">
      <c r="A349" s="11" t="n">
        <v>345</v>
      </c>
      <c r="B349" s="8" t="inlineStr">
        <is>
          <t>Total</t>
        </is>
      </c>
      <c r="C349" s="8" t="inlineStr">
        <is>
          <t>5W-30</t>
        </is>
      </c>
      <c r="D349" s="12" t="n">
        <v>3</v>
      </c>
      <c r="E349" s="8" t="inlineStr">
        <is>
          <t>PCMO</t>
        </is>
      </c>
      <c r="F349" s="13" t="n">
        <v>996.67</v>
      </c>
      <c r="G349" s="13" t="n">
        <v>2990</v>
      </c>
      <c r="H349" s="8" t="inlineStr">
        <is>
          <t>Total Parco Quartz 9000 Future GF6 5W-30 SP Engine Oil - 3L</t>
        </is>
      </c>
      <c r="I349" s="8" t="inlineStr">
        <is>
          <t>Daraz</t>
        </is>
      </c>
    </row>
    <row r="350" ht="15" customHeight="1">
      <c r="A350" s="11" t="n">
        <v>346</v>
      </c>
      <c r="B350" s="8" t="inlineStr">
        <is>
          <t>Total</t>
        </is>
      </c>
      <c r="C350" s="8" t="inlineStr">
        <is>
          <t>5W-30</t>
        </is>
      </c>
      <c r="D350" s="12" t="n">
        <v>3</v>
      </c>
      <c r="E350" s="8" t="inlineStr">
        <is>
          <t>PCMO</t>
        </is>
      </c>
      <c r="F350" s="13" t="n">
        <v>1130</v>
      </c>
      <c r="G350" s="13" t="n">
        <v>3390</v>
      </c>
      <c r="H350" s="8" t="inlineStr">
        <is>
          <t>Total Parco Quartz 9000 Future GF6 5W-30 SP Engine Oil - 3L</t>
        </is>
      </c>
      <c r="I350" s="8" t="inlineStr">
        <is>
          <t>Daraz</t>
        </is>
      </c>
    </row>
    <row r="351" ht="15" customHeight="1">
      <c r="A351" s="11" t="n">
        <v>347</v>
      </c>
      <c r="B351" s="8" t="inlineStr">
        <is>
          <t>Total</t>
        </is>
      </c>
      <c r="C351" s="8" t="inlineStr">
        <is>
          <t>5W-30</t>
        </is>
      </c>
      <c r="D351" s="12" t="n">
        <v>3</v>
      </c>
      <c r="E351" s="8" t="inlineStr">
        <is>
          <t>PCMO</t>
        </is>
      </c>
      <c r="F351" s="13" t="n">
        <v>996.67</v>
      </c>
      <c r="G351" s="13" t="n">
        <v>2990</v>
      </c>
      <c r="H351" s="8" t="inlineStr">
        <is>
          <t>Total Parco Quartz 9000 Future GF6 5W-30 SP Engine Oil - 3L</t>
        </is>
      </c>
      <c r="I351" s="8" t="inlineStr">
        <is>
          <t>Daraz</t>
        </is>
      </c>
    </row>
    <row r="352" ht="15" customHeight="1">
      <c r="A352" s="11" t="n">
        <v>348</v>
      </c>
      <c r="B352" s="8" t="inlineStr">
        <is>
          <t>Total</t>
        </is>
      </c>
      <c r="C352" s="8" t="inlineStr">
        <is>
          <t>5W-30</t>
        </is>
      </c>
      <c r="D352" s="12" t="n">
        <v>4</v>
      </c>
      <c r="E352" s="8" t="inlineStr">
        <is>
          <t>PCMO</t>
        </is>
      </c>
      <c r="F352" s="13" t="n">
        <v>960</v>
      </c>
      <c r="G352" s="13" t="n">
        <v>3840</v>
      </c>
      <c r="H352" s="8" t="inlineStr">
        <is>
          <t>QUARTZ 9000FUT.GF6 5W30 4L TOTAL PARCO</t>
        </is>
      </c>
      <c r="I352" s="8" t="inlineStr">
        <is>
          <t>Daraz</t>
        </is>
      </c>
    </row>
    <row r="353" ht="15" customHeight="1">
      <c r="A353" s="11" t="n">
        <v>349</v>
      </c>
      <c r="B353" s="8" t="inlineStr">
        <is>
          <t>Total</t>
        </is>
      </c>
      <c r="C353" s="8" t="inlineStr">
        <is>
          <t>5W-30</t>
        </is>
      </c>
      <c r="D353" s="12" t="n">
        <v>4</v>
      </c>
      <c r="E353" s="8" t="inlineStr">
        <is>
          <t>PCMO</t>
        </is>
      </c>
      <c r="F353" s="13" t="n">
        <v>960</v>
      </c>
      <c r="G353" s="13" t="n">
        <v>3840</v>
      </c>
      <c r="H353" s="8" t="inlineStr">
        <is>
          <t>QUARTZ 9000FUT.GF6 5W30 4L TOTAL PARCO</t>
        </is>
      </c>
      <c r="I353" s="8" t="inlineStr">
        <is>
          <t>Daraz</t>
        </is>
      </c>
    </row>
    <row r="354" ht="15" customHeight="1">
      <c r="A354" s="11" t="n">
        <v>350</v>
      </c>
      <c r="B354" s="8" t="inlineStr">
        <is>
          <t>Total Quartz 9000</t>
        </is>
      </c>
      <c r="C354" s="8" t="inlineStr">
        <is>
          <t>5W-30</t>
        </is>
      </c>
      <c r="D354" s="12" t="n">
        <v>4</v>
      </c>
      <c r="E354" s="8" t="inlineStr">
        <is>
          <t>PCMO</t>
        </is>
      </c>
      <c r="F354" s="13" t="n">
        <v>875.52</v>
      </c>
      <c r="G354" s="13" t="n">
        <v>3502.08</v>
      </c>
      <c r="H354" s="8" t="inlineStr">
        <is>
          <t>Total Quartz 9000 5w30 4L Fully Synthetic</t>
        </is>
      </c>
      <c r="I354" s="8" t="inlineStr">
        <is>
          <t>Daraz</t>
        </is>
      </c>
    </row>
    <row r="355" ht="15" customHeight="1">
      <c r="A355" s="11" t="n">
        <v>351</v>
      </c>
      <c r="B355" s="8" t="inlineStr">
        <is>
          <t>Total Quartz 9000</t>
        </is>
      </c>
      <c r="C355" s="8" t="inlineStr">
        <is>
          <t>5W-30</t>
        </is>
      </c>
      <c r="D355" s="12" t="n">
        <v>4</v>
      </c>
      <c r="E355" s="8" t="inlineStr">
        <is>
          <t>PCMO</t>
        </is>
      </c>
      <c r="F355" s="13" t="n">
        <v>875.52</v>
      </c>
      <c r="G355" s="13" t="n">
        <v>3502.08</v>
      </c>
      <c r="H355" s="8" t="inlineStr">
        <is>
          <t>Total Quartz 9000 5w30 4L Fully Synthetic</t>
        </is>
      </c>
      <c r="I355" s="8" t="inlineStr">
        <is>
          <t>Daraz</t>
        </is>
      </c>
    </row>
    <row r="356" ht="15" customHeight="1">
      <c r="A356" s="11" t="n">
        <v>352</v>
      </c>
      <c r="B356" s="8" t="inlineStr">
        <is>
          <t>Total Quartz 9000</t>
        </is>
      </c>
      <c r="C356" s="8" t="inlineStr">
        <is>
          <t>5W-30</t>
        </is>
      </c>
      <c r="D356" s="12" t="n">
        <v>4</v>
      </c>
      <c r="E356" s="8" t="inlineStr">
        <is>
          <t>PCMO</t>
        </is>
      </c>
      <c r="F356" s="13" t="n">
        <v>875.52</v>
      </c>
      <c r="G356" s="13" t="n">
        <v>3502.08</v>
      </c>
      <c r="H356" s="8" t="inlineStr">
        <is>
          <t>Total Quartz 9000 5w30 4L Fully Synthetic</t>
        </is>
      </c>
      <c r="I356" s="8" t="inlineStr">
        <is>
          <t>Daraz</t>
        </is>
      </c>
    </row>
    <row r="357" ht="15" customHeight="1">
      <c r="A357" s="11" t="n">
        <v>353</v>
      </c>
      <c r="B357" s="8" t="inlineStr">
        <is>
          <t>Total Quartz 9000</t>
        </is>
      </c>
      <c r="C357" s="8" t="inlineStr">
        <is>
          <t>5W-30</t>
        </is>
      </c>
      <c r="D357" s="12" t="n">
        <v>4</v>
      </c>
      <c r="E357" s="8" t="inlineStr">
        <is>
          <t>PCMO</t>
        </is>
      </c>
      <c r="F357" s="13" t="n">
        <v>875.52</v>
      </c>
      <c r="G357" s="13" t="n">
        <v>3502.08</v>
      </c>
      <c r="H357" s="8" t="inlineStr">
        <is>
          <t>Total Quartz 9000 5w30 4L Fully Synthetic</t>
        </is>
      </c>
      <c r="I357" s="8" t="inlineStr">
        <is>
          <t>Daraz</t>
        </is>
      </c>
    </row>
    <row r="358" ht="15" customHeight="1">
      <c r="A358" s="11" t="n">
        <v>354</v>
      </c>
      <c r="B358" s="8" t="inlineStr">
        <is>
          <t>Total Quartz 9000</t>
        </is>
      </c>
      <c r="C358" s="8" t="inlineStr">
        <is>
          <t>5W-30</t>
        </is>
      </c>
      <c r="D358" s="12" t="n">
        <v>4</v>
      </c>
      <c r="E358" s="8" t="inlineStr">
        <is>
          <t>PCMO</t>
        </is>
      </c>
      <c r="F358" s="13" t="n">
        <v>875.52</v>
      </c>
      <c r="G358" s="13" t="n">
        <v>3502.08</v>
      </c>
      <c r="H358" s="8" t="inlineStr">
        <is>
          <t>Total Quartz 9000 5w30 4L Fully Synthetic</t>
        </is>
      </c>
      <c r="I358" s="8" t="inlineStr">
        <is>
          <t>Daraz</t>
        </is>
      </c>
    </row>
    <row r="359" ht="15" customHeight="1">
      <c r="A359" s="11" t="n">
        <v>355</v>
      </c>
      <c r="B359" s="8" t="inlineStr">
        <is>
          <t>Total Quartz 9000</t>
        </is>
      </c>
      <c r="C359" s="8" t="inlineStr">
        <is>
          <t>5W-30</t>
        </is>
      </c>
      <c r="D359" s="12" t="n">
        <v>4</v>
      </c>
      <c r="E359" s="8" t="inlineStr">
        <is>
          <t>PCMO</t>
        </is>
      </c>
      <c r="F359" s="13" t="n">
        <v>875.52</v>
      </c>
      <c r="G359" s="13" t="n">
        <v>3502.08</v>
      </c>
      <c r="H359" s="8" t="inlineStr">
        <is>
          <t>Total Quartz 9000 5w30 4L Fully Synthetic</t>
        </is>
      </c>
      <c r="I359" s="8" t="inlineStr">
        <is>
          <t>Daraz</t>
        </is>
      </c>
    </row>
    <row r="360" ht="15" customHeight="1">
      <c r="A360" s="11" t="n">
        <v>356</v>
      </c>
      <c r="B360" s="8" t="inlineStr">
        <is>
          <t>Caltex Havoline</t>
        </is>
      </c>
      <c r="C360" s="8" t="inlineStr">
        <is>
          <t>5W-40</t>
        </is>
      </c>
      <c r="D360" s="12" t="n">
        <v>4</v>
      </c>
      <c r="E360" s="8" t="inlineStr">
        <is>
          <t>PCMO</t>
        </is>
      </c>
      <c r="F360" s="13" t="n">
        <v>3412.25</v>
      </c>
      <c r="G360" s="13" t="n">
        <v>13649</v>
      </c>
      <c r="H360" s="8" t="inlineStr">
        <is>
          <t>Caltex Havoline 5w40 4ltr Fully Synthetic Engine Oil for car</t>
        </is>
      </c>
      <c r="I360" s="8" t="inlineStr">
        <is>
          <t>Daraz</t>
        </is>
      </c>
    </row>
    <row r="361" ht="15" customHeight="1">
      <c r="A361" s="11" t="n">
        <v>357</v>
      </c>
      <c r="B361" s="8" t="inlineStr">
        <is>
          <t>Caltex Havoline</t>
        </is>
      </c>
      <c r="C361" s="8" t="inlineStr">
        <is>
          <t>5W-40</t>
        </is>
      </c>
      <c r="D361" s="12" t="n">
        <v>4</v>
      </c>
      <c r="E361" s="8" t="inlineStr">
        <is>
          <t>PCMO</t>
        </is>
      </c>
      <c r="F361" s="13" t="n">
        <v>3412.25</v>
      </c>
      <c r="G361" s="13" t="n">
        <v>13649</v>
      </c>
      <c r="H361" s="8" t="inlineStr">
        <is>
          <t>Caltex Havoline 5w40 4ltr Fully Synthetic Engine Oil for car</t>
        </is>
      </c>
      <c r="I361" s="8" t="inlineStr">
        <is>
          <t>Daraz</t>
        </is>
      </c>
    </row>
    <row r="362" ht="15" customHeight="1">
      <c r="A362" s="11" t="n">
        <v>358</v>
      </c>
      <c r="B362" s="8" t="inlineStr">
        <is>
          <t>Caltex Havoline</t>
        </is>
      </c>
      <c r="C362" s="8" t="inlineStr">
        <is>
          <t>5W-40</t>
        </is>
      </c>
      <c r="D362" s="12" t="n">
        <v>4</v>
      </c>
      <c r="E362" s="8" t="inlineStr">
        <is>
          <t>PCMO</t>
        </is>
      </c>
      <c r="F362" s="13" t="n">
        <v>3412.25</v>
      </c>
      <c r="G362" s="13" t="n">
        <v>13649</v>
      </c>
      <c r="H362" s="8" t="inlineStr">
        <is>
          <t>Caltex Havoline 5w40 4ltr Fully Synthetic Engine Oil for car</t>
        </is>
      </c>
      <c r="I362" s="8" t="inlineStr">
        <is>
          <t>Daraz</t>
        </is>
      </c>
    </row>
    <row r="363" ht="15" customHeight="1">
      <c r="A363" s="11" t="n">
        <v>359</v>
      </c>
      <c r="B363" s="8" t="inlineStr">
        <is>
          <t>Kixx G1</t>
        </is>
      </c>
      <c r="C363" s="8" t="inlineStr">
        <is>
          <t>5W-40</t>
        </is>
      </c>
      <c r="D363" s="12" t="n">
        <v>4</v>
      </c>
      <c r="E363" s="8" t="inlineStr">
        <is>
          <t>PCMO</t>
        </is>
      </c>
      <c r="F363" s="13" t="n">
        <v>2999.75</v>
      </c>
      <c r="G363" s="13" t="n">
        <v>11999</v>
      </c>
      <c r="H363" s="8" t="inlineStr">
        <is>
          <t>Kixx G1 API SP 5W-40 (4L)</t>
        </is>
      </c>
      <c r="I363" s="8" t="inlineStr">
        <is>
          <t>Daraz</t>
        </is>
      </c>
    </row>
    <row r="364" ht="15" customHeight="1">
      <c r="A364" s="11" t="n">
        <v>360</v>
      </c>
      <c r="B364" s="8" t="inlineStr">
        <is>
          <t>Kixx PAO</t>
        </is>
      </c>
      <c r="C364" s="8" t="inlineStr">
        <is>
          <t>5W-40</t>
        </is>
      </c>
      <c r="D364" s="12" t="n">
        <v>4</v>
      </c>
      <c r="E364" s="8" t="inlineStr">
        <is>
          <t>PCMO</t>
        </is>
      </c>
      <c r="F364" s="13" t="n">
        <v>4350</v>
      </c>
      <c r="G364" s="13" t="n">
        <v>17400</v>
      </c>
      <c r="H364" s="8" t="inlineStr">
        <is>
          <t>KIXX PAO 5w40 4LTR Fully synthetic engine oil for car</t>
        </is>
      </c>
      <c r="I364" s="8" t="inlineStr">
        <is>
          <t>Daraz</t>
        </is>
      </c>
    </row>
    <row r="365" ht="15" customHeight="1">
      <c r="A365" s="11" t="n">
        <v>361</v>
      </c>
      <c r="B365" s="8" t="inlineStr">
        <is>
          <t>Kixx PAO</t>
        </is>
      </c>
      <c r="C365" s="8" t="inlineStr">
        <is>
          <t>5W-40</t>
        </is>
      </c>
      <c r="D365" s="12" t="n">
        <v>4</v>
      </c>
      <c r="E365" s="8" t="inlineStr">
        <is>
          <t>PCMO</t>
        </is>
      </c>
      <c r="F365" s="13" t="n">
        <v>4350</v>
      </c>
      <c r="G365" s="13" t="n">
        <v>17400</v>
      </c>
      <c r="H365" s="8" t="inlineStr">
        <is>
          <t>KIXX PAO 5w40 4LTR Fully synthetic engine oil for car</t>
        </is>
      </c>
      <c r="I365" s="8" t="inlineStr">
        <is>
          <t>Daraz</t>
        </is>
      </c>
    </row>
    <row r="366" ht="15" customHeight="1">
      <c r="A366" s="11" t="n">
        <v>362</v>
      </c>
      <c r="B366" s="8" t="inlineStr">
        <is>
          <t>Shell Helix Ultra</t>
        </is>
      </c>
      <c r="C366" s="8" t="inlineStr">
        <is>
          <t>5W-40</t>
        </is>
      </c>
      <c r="D366" s="12" t="n">
        <v>4</v>
      </c>
      <c r="E366" s="8" t="inlineStr">
        <is>
          <t>PCMO</t>
        </is>
      </c>
      <c r="F366" s="13" t="n">
        <v>2750</v>
      </c>
      <c r="G366" s="13" t="n">
        <v>11000</v>
      </c>
      <c r="H366" s="8" t="inlineStr">
        <is>
          <t>Shell Helix Ultra 5W-40 SN Engine Oil - 4L</t>
        </is>
      </c>
      <c r="I366" s="8" t="inlineStr">
        <is>
          <t>Daraz</t>
        </is>
      </c>
    </row>
    <row r="367" ht="15" customHeight="1">
      <c r="A367" s="11" t="n">
        <v>363</v>
      </c>
      <c r="B367" s="8" t="inlineStr">
        <is>
          <t>ZIC X9</t>
        </is>
      </c>
      <c r="C367" s="8" t="inlineStr">
        <is>
          <t>5W-40</t>
        </is>
      </c>
      <c r="D367" s="12" t="n">
        <v>4</v>
      </c>
      <c r="E367" s="8" t="inlineStr">
        <is>
          <t>PCMO</t>
        </is>
      </c>
      <c r="F367" s="13" t="n">
        <v>3650</v>
      </c>
      <c r="G367" s="13" t="n">
        <v>14600</v>
      </c>
      <c r="H367" s="8" t="inlineStr">
        <is>
          <t>Zic x9 5w40 4ltr fully synthetic engine oil for car Korea made</t>
        </is>
      </c>
      <c r="I367" s="8" t="inlineStr">
        <is>
          <t>Daraz</t>
        </is>
      </c>
    </row>
    <row r="368" ht="15" customHeight="1">
      <c r="A368" s="11" t="n">
        <v>364</v>
      </c>
      <c r="B368" s="8" t="inlineStr">
        <is>
          <t>ZIC X9</t>
        </is>
      </c>
      <c r="C368" s="8" t="inlineStr">
        <is>
          <t>5W-40</t>
        </is>
      </c>
      <c r="D368" s="12" t="n">
        <v>4</v>
      </c>
      <c r="E368" s="8" t="inlineStr">
        <is>
          <t>PCMO</t>
        </is>
      </c>
      <c r="F368" s="13" t="n">
        <v>3650</v>
      </c>
      <c r="G368" s="13" t="n">
        <v>14600</v>
      </c>
      <c r="H368" s="8" t="inlineStr">
        <is>
          <t>Zic x9 5w40 4ltr fully synthetic engine oil for car Korea made</t>
        </is>
      </c>
      <c r="I368" s="8" t="inlineStr">
        <is>
          <t>Daraz</t>
        </is>
      </c>
    </row>
    <row r="369" ht="15" customHeight="1">
      <c r="A369" s="11" t="n">
        <v>365</v>
      </c>
      <c r="B369" s="8" t="inlineStr">
        <is>
          <t>ZIC X9</t>
        </is>
      </c>
      <c r="C369" s="8" t="inlineStr">
        <is>
          <t>5W-40</t>
        </is>
      </c>
      <c r="D369" s="12" t="n">
        <v>4</v>
      </c>
      <c r="E369" s="8" t="inlineStr">
        <is>
          <t>PCMO</t>
        </is>
      </c>
      <c r="F369" s="13" t="n">
        <v>3650</v>
      </c>
      <c r="G369" s="13" t="n">
        <v>14600</v>
      </c>
      <c r="H369" s="8" t="inlineStr">
        <is>
          <t>Zic x9 5w40 4ltr fully synthetic engine oil for car Korea made</t>
        </is>
      </c>
      <c r="I369" s="8" t="inlineStr">
        <is>
          <t>Daraz</t>
        </is>
      </c>
    </row>
    <row r="370" ht="8" customHeight="1"/>
    <row r="371" ht="18" customHeight="1">
      <c r="A371" s="3" t="inlineStr">
        <is>
          <t>MARKET STATISTICS BY GRADE (excluding PSO)</t>
        </is>
      </c>
    </row>
    <row r="372" ht="17" customHeight="1">
      <c r="A372" s="4" t="inlineStr">
        <is>
          <t>Grade</t>
        </is>
      </c>
      <c r="B372" s="4" t="inlineStr">
        <is>
          <t>Oil Type</t>
        </is>
      </c>
      <c r="C372" s="4" t="inlineStr">
        <is>
          <t>Listings</t>
        </is>
      </c>
      <c r="D372" s="4" t="inlineStr">
        <is>
          <t>Min/L</t>
        </is>
      </c>
      <c r="E372" s="4" t="inlineStr">
        <is>
          <t>Median/L</t>
        </is>
      </c>
      <c r="F372" s="4" t="inlineStr">
        <is>
          <t>Max/L</t>
        </is>
      </c>
      <c r="G372" s="4" t="inlineStr">
        <is>
          <t>Std Dev</t>
        </is>
      </c>
    </row>
    <row r="373">
      <c r="A373" s="8" t="inlineStr">
        <is>
          <t>0W-20</t>
        </is>
      </c>
      <c r="B373" s="8" t="inlineStr">
        <is>
          <t>PCMO</t>
        </is>
      </c>
      <c r="C373" s="11" t="n">
        <v>8</v>
      </c>
      <c r="D373" s="13" t="n">
        <v>3375</v>
      </c>
      <c r="E373" s="18" t="n">
        <v>3412</v>
      </c>
      <c r="F373" s="13" t="n">
        <v>4012</v>
      </c>
      <c r="G373" s="13" t="n">
        <v>217</v>
      </c>
    </row>
    <row r="374">
      <c r="A374" s="8" t="inlineStr">
        <is>
          <t>5W-20</t>
        </is>
      </c>
      <c r="B374" s="8" t="inlineStr">
        <is>
          <t>PCMO</t>
        </is>
      </c>
      <c r="C374" s="11" t="n">
        <v>9</v>
      </c>
      <c r="D374" s="13" t="n">
        <v>1833</v>
      </c>
      <c r="E374" s="18" t="n">
        <v>1900</v>
      </c>
      <c r="F374" s="13" t="n">
        <v>2400</v>
      </c>
      <c r="G374" s="13" t="n">
        <v>239</v>
      </c>
    </row>
    <row r="375">
      <c r="A375" s="8" t="inlineStr">
        <is>
          <t>5W-30</t>
        </is>
      </c>
      <c r="B375" s="8" t="inlineStr">
        <is>
          <t>PCMO</t>
        </is>
      </c>
      <c r="C375" s="11" t="n">
        <v>31</v>
      </c>
      <c r="D375" s="13" t="n">
        <v>876</v>
      </c>
      <c r="E375" s="18" t="n">
        <v>1019</v>
      </c>
      <c r="F375" s="13" t="n">
        <v>1500</v>
      </c>
      <c r="G375" s="13" t="n">
        <v>182</v>
      </c>
    </row>
    <row r="376">
      <c r="A376" s="8" t="inlineStr">
        <is>
          <t>5W-40</t>
        </is>
      </c>
      <c r="B376" s="8" t="inlineStr">
        <is>
          <t>PCMO</t>
        </is>
      </c>
      <c r="C376" s="11" t="n">
        <v>13</v>
      </c>
      <c r="D376" s="13" t="n">
        <v>2750</v>
      </c>
      <c r="E376" s="18" t="n">
        <v>3412</v>
      </c>
      <c r="F376" s="13" t="n">
        <v>4350</v>
      </c>
      <c r="G376" s="13" t="n">
        <v>460</v>
      </c>
    </row>
    <row r="377">
      <c r="A377" s="8" t="inlineStr">
        <is>
          <t>10W-40</t>
        </is>
      </c>
      <c r="B377" s="8" t="inlineStr">
        <is>
          <t>PCMO</t>
        </is>
      </c>
      <c r="C377" s="11" t="n">
        <v>141</v>
      </c>
      <c r="D377" s="13" t="n">
        <v>909</v>
      </c>
      <c r="E377" s="18" t="n">
        <v>1125</v>
      </c>
      <c r="F377" s="13" t="n">
        <v>2333</v>
      </c>
      <c r="G377" s="13" t="n">
        <v>454</v>
      </c>
    </row>
    <row r="378">
      <c r="A378" s="8" t="inlineStr">
        <is>
          <t>15W-40</t>
        </is>
      </c>
      <c r="B378" s="8" t="inlineStr">
        <is>
          <t>HDEO/PCMO</t>
        </is>
      </c>
      <c r="C378" s="11" t="n">
        <v>14</v>
      </c>
      <c r="D378" s="13" t="n">
        <v>1088</v>
      </c>
      <c r="E378" s="18" t="n">
        <v>1750</v>
      </c>
      <c r="F378" s="13" t="n">
        <v>2262</v>
      </c>
      <c r="G378" s="13" t="n">
        <v>479</v>
      </c>
    </row>
    <row r="379">
      <c r="A379" s="8" t="inlineStr">
        <is>
          <t>20W-50</t>
        </is>
      </c>
      <c r="B379" s="8" t="inlineStr">
        <is>
          <t>HDEO/PCMO</t>
        </is>
      </c>
      <c r="C379" s="11" t="n">
        <v>141</v>
      </c>
      <c r="D379" s="13" t="n">
        <v>796</v>
      </c>
      <c r="E379" s="18" t="n">
        <v>1133</v>
      </c>
      <c r="F379" s="13" t="n">
        <v>2400</v>
      </c>
      <c r="G379" s="13" t="n">
        <v>386</v>
      </c>
    </row>
  </sheetData>
  <mergeCells count="3">
    <mergeCell ref="A1:I1"/>
    <mergeCell ref="A371:I37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2"/>
  <sheetViews>
    <sheetView workbookViewId="0">
      <pane ySplit="4" topLeftCell="A5" activePane="bottomLeft" state="frozen"/>
      <selection pane="bottomLeft" activeCell="A1" sqref="A1"/>
    </sheetView>
  </sheetViews>
  <sheetFormatPr baseColWidth="8" defaultRowHeight="15"/>
  <cols>
    <col width="26" customWidth="1" min="1" max="1"/>
    <col width="9" customWidth="1" min="2" max="2"/>
    <col width="8" customWidth="1" min="3" max="3"/>
    <col width="7" customWidth="1" min="4" max="4"/>
    <col width="14" customWidth="1" min="5" max="5"/>
    <col width="9" customWidth="1" min="6" max="6"/>
    <col width="9" customWidth="1" min="7" max="7"/>
    <col width="9"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6" customWidth="1" min="16" max="16"/>
    <col width="12" customWidth="1" min="17" max="17"/>
    <col width="12" customWidth="1" min="18" max="18"/>
    <col width="10" customWidth="1" min="19" max="19"/>
    <col width="13" customWidth="1" min="20" max="20"/>
  </cols>
  <sheetData>
    <row r="1" ht="28" customHeight="1">
      <c r="A1" s="10" t="inlineStr">
        <is>
          <t>PSO LUBRICANTS -- PRICING STRATEGY SUMMARY  (Frameworks F1-F8, July 2026)</t>
        </is>
      </c>
    </row>
    <row r="2" ht="40" customHeight="1">
      <c r="A2" s="2" t="inlineStr">
        <is>
          <t>Final recommended price per litre for all PSO SKUs. Synthesis = weighted average of F1 (30%) + F2 (30%) + F3 (20%) + F5 (10%) + F4 (10%), with F4 waterfall as hard floor. Confidence: HIGH if &gt;=4 frameworks have data, MEDIUM if &gt;=2, LOW otherwise.</t>
        </is>
      </c>
    </row>
    <row r="3" ht="8" customHeight="1"/>
    <row r="4" ht="17" customHeight="1">
      <c r="A4" s="4" t="inlineStr">
        <is>
          <t>Brand</t>
        </is>
      </c>
      <c r="B4" s="4" t="inlineStr">
        <is>
          <t>Oil Type</t>
        </is>
      </c>
      <c r="C4" s="4" t="inlineStr">
        <is>
          <t>Grade</t>
        </is>
      </c>
      <c r="D4" s="4" t="inlineStr">
        <is>
          <t>Pack (L)</t>
        </is>
      </c>
      <c r="E4" s="4" t="inlineStr">
        <is>
          <t>Tier</t>
        </is>
      </c>
      <c r="F4" s="4" t="inlineStr">
        <is>
          <t>Mkt Min</t>
        </is>
      </c>
      <c r="G4" s="4" t="inlineStr">
        <is>
          <t>Mkt Med</t>
        </is>
      </c>
      <c r="H4" s="4" t="inlineStr">
        <is>
          <t>Mkt Max</t>
        </is>
      </c>
      <c r="I4" s="4" t="inlineStr">
        <is>
          <t>F1 VBT
(30%)</t>
        </is>
      </c>
      <c r="J4" s="4" t="inlineStr">
        <is>
          <t>F2 CRP
(30%)</t>
        </is>
      </c>
      <c r="K4" s="4" t="inlineStr">
        <is>
          <t>F3 PPA
(20%)</t>
        </is>
      </c>
      <c r="L4" s="4" t="inlineStr">
        <is>
          <t>F4 Floor
(hard)</t>
        </is>
      </c>
      <c r="M4" s="4" t="inlineStr">
        <is>
          <t>F5 Spec
(10%)</t>
        </is>
      </c>
      <c r="N4" s="4" t="inlineStr">
        <is>
          <t>F7 BOI
Floor</t>
        </is>
      </c>
      <c r="O4" s="4" t="inlineStr">
        <is>
          <t>Synthesis
(wtd avg)</t>
        </is>
      </c>
      <c r="P4" s="4" t="inlineStr">
        <is>
          <t>F4 Override?</t>
        </is>
      </c>
      <c r="Q4" s="4" t="inlineStr">
        <is>
          <t>Final Rec
PKR/L</t>
        </is>
      </c>
      <c r="R4" s="4" t="inlineStr">
        <is>
          <t>Final Rec
Pkg PKR</t>
        </is>
      </c>
      <c r="S4" s="4" t="inlineStr">
        <is>
          <t>Confidence</t>
        </is>
      </c>
      <c r="T4" s="4" t="inlineStr">
        <is>
          <t>vs Market</t>
        </is>
      </c>
    </row>
    <row r="5">
      <c r="A5" s="8" t="inlineStr">
        <is>
          <t>PSO Carient SPRO</t>
        </is>
      </c>
      <c r="B5" s="8" t="inlineStr">
        <is>
          <t>PCMO</t>
        </is>
      </c>
      <c r="C5" s="8" t="inlineStr">
        <is>
          <t>15W-40</t>
        </is>
      </c>
      <c r="D5" s="12" t="n">
        <v>3</v>
      </c>
      <c r="E5" s="8" t="inlineStr">
        <is>
          <t>Economy</t>
        </is>
      </c>
      <c r="F5" s="13" t="n">
        <v>1088</v>
      </c>
      <c r="G5" s="13" t="n">
        <v>1750</v>
      </c>
      <c r="H5" s="13" t="n">
        <v>2262</v>
      </c>
      <c r="I5" s="13" t="n">
        <v>1066</v>
      </c>
      <c r="J5" s="13" t="n">
        <v>1698</v>
      </c>
      <c r="K5" s="13" t="n">
        <v>1960</v>
      </c>
      <c r="L5" s="13" t="n">
        <v>921</v>
      </c>
      <c r="M5" s="13" t="n">
        <v>1088</v>
      </c>
      <c r="N5" s="13" t="n">
        <v>1652</v>
      </c>
      <c r="O5" s="13" t="n">
        <v>1422</v>
      </c>
      <c r="P5" s="8" t="inlineStr">
        <is>
          <t>No</t>
        </is>
      </c>
      <c r="Q5" s="19" t="n">
        <v>1422</v>
      </c>
      <c r="R5" s="19" t="n">
        <v>4266</v>
      </c>
      <c r="S5" s="20" t="inlineStr">
        <is>
          <t>HIGH</t>
        </is>
      </c>
      <c r="T5" s="21" t="inlineStr">
        <is>
          <t>-18.7%</t>
        </is>
      </c>
    </row>
    <row r="6">
      <c r="A6" s="8" t="inlineStr">
        <is>
          <t>PSO Carient SPRO</t>
        </is>
      </c>
      <c r="B6" s="8" t="inlineStr">
        <is>
          <t>PCMO</t>
        </is>
      </c>
      <c r="C6" s="8" t="inlineStr">
        <is>
          <t>20W-50</t>
        </is>
      </c>
      <c r="D6" s="12" t="n">
        <v>3</v>
      </c>
      <c r="E6" s="8" t="inlineStr">
        <is>
          <t>Economy</t>
        </is>
      </c>
      <c r="F6" s="13" t="n">
        <v>927</v>
      </c>
      <c r="G6" s="13" t="n">
        <v>1183</v>
      </c>
      <c r="H6" s="13" t="n">
        <v>1900</v>
      </c>
      <c r="I6" s="13" t="n">
        <v>1046</v>
      </c>
      <c r="J6" s="13" t="n">
        <v>1148</v>
      </c>
      <c r="K6" s="13" t="n">
        <v>1148</v>
      </c>
      <c r="L6" s="13" t="n">
        <v>649</v>
      </c>
      <c r="M6" s="13" t="n">
        <v>1239</v>
      </c>
      <c r="N6" s="13" t="n">
        <v>1176</v>
      </c>
      <c r="O6" s="13" t="n">
        <v>1077</v>
      </c>
      <c r="P6" s="8" t="inlineStr">
        <is>
          <t>No</t>
        </is>
      </c>
      <c r="Q6" s="19" t="n">
        <v>1077</v>
      </c>
      <c r="R6" s="19" t="n">
        <v>3231</v>
      </c>
      <c r="S6" s="20" t="inlineStr">
        <is>
          <t>HIGH</t>
        </is>
      </c>
      <c r="T6" s="6" t="inlineStr">
        <is>
          <t>-9.0%</t>
        </is>
      </c>
    </row>
    <row r="7">
      <c r="A7" s="8" t="inlineStr">
        <is>
          <t>PSO Carient SPRO</t>
        </is>
      </c>
      <c r="B7" s="8" t="inlineStr">
        <is>
          <t>PCMO</t>
        </is>
      </c>
      <c r="C7" s="8" t="inlineStr">
        <is>
          <t>15W-40</t>
        </is>
      </c>
      <c r="D7" s="12" t="n">
        <v>4</v>
      </c>
      <c r="E7" s="8" t="inlineStr">
        <is>
          <t>Economy</t>
        </is>
      </c>
      <c r="F7" s="13" t="n">
        <v>1088</v>
      </c>
      <c r="G7" s="13" t="n">
        <v>1750</v>
      </c>
      <c r="H7" s="13" t="n">
        <v>2262</v>
      </c>
      <c r="I7" s="13" t="n">
        <v>1066</v>
      </c>
      <c r="J7" s="13" t="n">
        <v>1698</v>
      </c>
      <c r="K7" s="13" t="n">
        <v>1750</v>
      </c>
      <c r="L7" s="13" t="n">
        <v>921</v>
      </c>
      <c r="M7" s="13" t="n">
        <v>1088</v>
      </c>
      <c r="N7" s="13" t="n">
        <v>1652</v>
      </c>
      <c r="O7" s="13" t="n">
        <v>1380</v>
      </c>
      <c r="P7" s="8" t="inlineStr">
        <is>
          <t>No</t>
        </is>
      </c>
      <c r="Q7" s="19" t="n">
        <v>1380</v>
      </c>
      <c r="R7" s="19" t="n">
        <v>5520</v>
      </c>
      <c r="S7" s="20" t="inlineStr">
        <is>
          <t>HIGH</t>
        </is>
      </c>
      <c r="T7" s="21" t="inlineStr">
        <is>
          <t>-21.1%</t>
        </is>
      </c>
    </row>
    <row r="8">
      <c r="A8" s="8" t="inlineStr">
        <is>
          <t>PSO Carient SPRO</t>
        </is>
      </c>
      <c r="B8" s="8" t="inlineStr">
        <is>
          <t>PCMO</t>
        </is>
      </c>
      <c r="C8" s="8" t="inlineStr">
        <is>
          <t>20W-50</t>
        </is>
      </c>
      <c r="D8" s="12" t="n">
        <v>4</v>
      </c>
      <c r="E8" s="8" t="inlineStr">
        <is>
          <t>Economy</t>
        </is>
      </c>
      <c r="F8" s="13" t="n">
        <v>796</v>
      </c>
      <c r="G8" s="13" t="n">
        <v>1025</v>
      </c>
      <c r="H8" s="13" t="n">
        <v>2375</v>
      </c>
      <c r="I8" s="13" t="n">
        <v>931</v>
      </c>
      <c r="J8" s="13" t="n">
        <v>994</v>
      </c>
      <c r="K8" s="13" t="n">
        <v>1025</v>
      </c>
      <c r="L8" s="13" t="n">
        <v>649</v>
      </c>
      <c r="M8" s="13" t="n">
        <v>1239</v>
      </c>
      <c r="N8" s="13" t="n">
        <v>1176</v>
      </c>
      <c r="O8" s="13" t="n">
        <v>971</v>
      </c>
      <c r="P8" s="8" t="inlineStr">
        <is>
          <t>No</t>
        </is>
      </c>
      <c r="Q8" s="19" t="n">
        <v>971</v>
      </c>
      <c r="R8" s="19" t="n">
        <v>3884</v>
      </c>
      <c r="S8" s="20" t="inlineStr">
        <is>
          <t>HIGH</t>
        </is>
      </c>
      <c r="T8" s="6" t="inlineStr">
        <is>
          <t>-5.3%</t>
        </is>
      </c>
    </row>
    <row r="9">
      <c r="A9" s="8" t="inlineStr">
        <is>
          <t>PSO Carient FS</t>
        </is>
      </c>
      <c r="B9" s="8" t="inlineStr">
        <is>
          <t>PCMO</t>
        </is>
      </c>
      <c r="C9" s="8" t="inlineStr">
        <is>
          <t>5W-30</t>
        </is>
      </c>
      <c r="D9" s="12" t="n">
        <v>4</v>
      </c>
      <c r="E9" s="8" t="inlineStr">
        <is>
          <t>Premium</t>
        </is>
      </c>
      <c r="F9" s="13" t="n">
        <v>876</v>
      </c>
      <c r="G9" s="13" t="n">
        <v>1019</v>
      </c>
      <c r="H9" s="13" t="n">
        <v>1500</v>
      </c>
      <c r="I9" s="13" t="n">
        <v>874</v>
      </c>
      <c r="J9" s="13" t="n">
        <v>988</v>
      </c>
      <c r="K9" s="13" t="n">
        <v>1019</v>
      </c>
      <c r="L9" s="13" t="n">
        <v>2006</v>
      </c>
      <c r="M9" s="13" t="n">
        <v>1328</v>
      </c>
      <c r="N9" s="13" t="n">
        <v>2828</v>
      </c>
      <c r="O9" s="13" t="n">
        <v>1096</v>
      </c>
      <c r="P9" s="21" t="inlineStr">
        <is>
          <t>YES -- raised to F4</t>
        </is>
      </c>
      <c r="Q9" s="19" t="n">
        <v>2006</v>
      </c>
      <c r="R9" s="19" t="n">
        <v>8024</v>
      </c>
      <c r="S9" s="20" t="inlineStr">
        <is>
          <t>HIGH</t>
        </is>
      </c>
      <c r="T9" s="15" t="inlineStr">
        <is>
          <t>+96.9%</t>
        </is>
      </c>
    </row>
    <row r="10">
      <c r="A10" s="8" t="inlineStr">
        <is>
          <t>PSO Carient FS</t>
        </is>
      </c>
      <c r="B10" s="8" t="inlineStr">
        <is>
          <t>PCMO</t>
        </is>
      </c>
      <c r="C10" s="8" t="inlineStr">
        <is>
          <t>5W-40</t>
        </is>
      </c>
      <c r="D10" s="12" t="n">
        <v>4</v>
      </c>
      <c r="E10" s="8" t="inlineStr">
        <is>
          <t>Premium</t>
        </is>
      </c>
      <c r="F10" s="13" t="n">
        <v>2750</v>
      </c>
      <c r="G10" s="13" t="n">
        <v>3412</v>
      </c>
      <c r="H10" s="13" t="n">
        <v>4350</v>
      </c>
      <c r="I10" s="13" t="n">
        <v>3431</v>
      </c>
      <c r="J10" s="13" t="n">
        <v>3310</v>
      </c>
      <c r="K10" s="13" t="n">
        <v>3412</v>
      </c>
      <c r="L10" s="13" t="n">
        <v>1966</v>
      </c>
      <c r="M10" s="13" t="n">
        <v>3540</v>
      </c>
      <c r="N10" s="13" t="n">
        <v>2772</v>
      </c>
      <c r="O10" s="13" t="n">
        <v>3255</v>
      </c>
      <c r="P10" s="8" t="inlineStr">
        <is>
          <t>No</t>
        </is>
      </c>
      <c r="Q10" s="19" t="n">
        <v>3255</v>
      </c>
      <c r="R10" s="19" t="n">
        <v>13020</v>
      </c>
      <c r="S10" s="20" t="inlineStr">
        <is>
          <t>HIGH</t>
        </is>
      </c>
      <c r="T10" s="6" t="inlineStr">
        <is>
          <t>-4.6%</t>
        </is>
      </c>
    </row>
    <row r="11">
      <c r="A11" s="8" t="inlineStr">
        <is>
          <t>PSO Carient FS</t>
        </is>
      </c>
      <c r="B11" s="8" t="inlineStr">
        <is>
          <t>PCMO</t>
        </is>
      </c>
      <c r="C11" s="8" t="inlineStr">
        <is>
          <t>10W-40</t>
        </is>
      </c>
      <c r="D11" s="12" t="n">
        <v>4</v>
      </c>
      <c r="E11" s="8" t="inlineStr">
        <is>
          <t>Premium</t>
        </is>
      </c>
      <c r="F11" s="13" t="n">
        <v>922</v>
      </c>
      <c r="G11" s="13" t="n">
        <v>1025</v>
      </c>
      <c r="H11" s="13" t="n">
        <v>2150</v>
      </c>
      <c r="I11" s="13" t="n"/>
      <c r="J11" s="13" t="n">
        <v>994</v>
      </c>
      <c r="K11" s="13" t="n">
        <v>1025</v>
      </c>
      <c r="L11" s="13" t="n">
        <v>1200</v>
      </c>
      <c r="M11" s="13" t="n">
        <v>1251</v>
      </c>
      <c r="N11" s="13" t="n">
        <v>1708</v>
      </c>
      <c r="O11" s="13" t="n">
        <v>1069</v>
      </c>
      <c r="P11" s="21" t="inlineStr">
        <is>
          <t>YES -- raised to F4</t>
        </is>
      </c>
      <c r="Q11" s="19" t="n">
        <v>1200</v>
      </c>
      <c r="R11" s="19" t="n">
        <v>4800</v>
      </c>
      <c r="S11" s="20" t="inlineStr">
        <is>
          <t>HIGH</t>
        </is>
      </c>
      <c r="T11" s="15" t="inlineStr">
        <is>
          <t>+17.1%</t>
        </is>
      </c>
    </row>
    <row r="12">
      <c r="A12" s="8" t="inlineStr">
        <is>
          <t>PSO Carient Ultra</t>
        </is>
      </c>
      <c r="B12" s="8" t="inlineStr">
        <is>
          <t>PCMO</t>
        </is>
      </c>
      <c r="C12" s="8" t="inlineStr">
        <is>
          <t>0W-20</t>
        </is>
      </c>
      <c r="D12" s="12" t="n">
        <v>1</v>
      </c>
      <c r="E12" s="8" t="inlineStr">
        <is>
          <t>Super Premium</t>
        </is>
      </c>
      <c r="F12" s="13" t="n">
        <v>3375</v>
      </c>
      <c r="G12" s="13" t="n">
        <v>3412</v>
      </c>
      <c r="H12" s="13" t="n">
        <v>4012</v>
      </c>
      <c r="I12" s="13" t="n"/>
      <c r="J12" s="13" t="n">
        <v>3310</v>
      </c>
      <c r="K12" s="13" t="n">
        <v>4777</v>
      </c>
      <c r="L12" s="13" t="n">
        <v>2409</v>
      </c>
      <c r="M12" s="13" t="n">
        <v>5135</v>
      </c>
      <c r="N12" s="13" t="n">
        <v>2940</v>
      </c>
      <c r="O12" s="13" t="n">
        <v>3861</v>
      </c>
      <c r="P12" s="8" t="inlineStr">
        <is>
          <t>No</t>
        </is>
      </c>
      <c r="Q12" s="19" t="n">
        <v>3861</v>
      </c>
      <c r="R12" s="19" t="n">
        <v>3861</v>
      </c>
      <c r="S12" s="20" t="inlineStr">
        <is>
          <t>HIGH</t>
        </is>
      </c>
      <c r="T12" s="15" t="inlineStr">
        <is>
          <t>+13.2%</t>
        </is>
      </c>
    </row>
    <row r="13">
      <c r="A13" s="8" t="inlineStr">
        <is>
          <t>PSO Carient Ultra</t>
        </is>
      </c>
      <c r="B13" s="8" t="inlineStr">
        <is>
          <t>PCMO</t>
        </is>
      </c>
      <c r="C13" s="8" t="inlineStr">
        <is>
          <t>5W-20</t>
        </is>
      </c>
      <c r="D13" s="12" t="n">
        <v>1</v>
      </c>
      <c r="E13" s="8" t="inlineStr">
        <is>
          <t>Super Premium</t>
        </is>
      </c>
      <c r="F13" s="13" t="n">
        <v>1833</v>
      </c>
      <c r="G13" s="13" t="n">
        <v>1900</v>
      </c>
      <c r="H13" s="13" t="n">
        <v>2400</v>
      </c>
      <c r="I13" s="13" t="n"/>
      <c r="J13" s="13" t="n">
        <v>1843</v>
      </c>
      <c r="K13" s="13" t="n">
        <v>2660</v>
      </c>
      <c r="L13" s="13" t="n">
        <v>2364</v>
      </c>
      <c r="M13" s="13" t="n">
        <v>2346</v>
      </c>
      <c r="N13" s="13" t="n">
        <v>2884</v>
      </c>
      <c r="O13" s="13" t="n">
        <v>2223</v>
      </c>
      <c r="P13" s="21" t="inlineStr">
        <is>
          <t>YES -- raised to F4</t>
        </is>
      </c>
      <c r="Q13" s="19" t="n">
        <v>2364</v>
      </c>
      <c r="R13" s="19" t="n">
        <v>2364</v>
      </c>
      <c r="S13" s="20" t="inlineStr">
        <is>
          <t>HIGH</t>
        </is>
      </c>
      <c r="T13" s="15" t="inlineStr">
        <is>
          <t>+24.4%</t>
        </is>
      </c>
    </row>
    <row r="14">
      <c r="A14" s="8" t="inlineStr">
        <is>
          <t>PSO Carient Ultra</t>
        </is>
      </c>
      <c r="B14" s="8" t="inlineStr">
        <is>
          <t>PCMO</t>
        </is>
      </c>
      <c r="C14" s="8" t="inlineStr">
        <is>
          <t>5W-30</t>
        </is>
      </c>
      <c r="D14" s="12" t="n">
        <v>1</v>
      </c>
      <c r="E14" s="8" t="inlineStr">
        <is>
          <t>Super Premium</t>
        </is>
      </c>
      <c r="F14" s="13" t="n">
        <v>876</v>
      </c>
      <c r="G14" s="13" t="n">
        <v>1019</v>
      </c>
      <c r="H14" s="13" t="n">
        <v>1500</v>
      </c>
      <c r="I14" s="13" t="n"/>
      <c r="J14" s="13" t="n">
        <v>988</v>
      </c>
      <c r="K14" s="13" t="n">
        <v>1427</v>
      </c>
      <c r="L14" s="13" t="n">
        <v>2318</v>
      </c>
      <c r="M14" s="13" t="n">
        <v>1440</v>
      </c>
      <c r="N14" s="13" t="n">
        <v>2828</v>
      </c>
      <c r="O14" s="13" t="n">
        <v>1368</v>
      </c>
      <c r="P14" s="21" t="inlineStr">
        <is>
          <t>YES -- raised to F4</t>
        </is>
      </c>
      <c r="Q14" s="19" t="n">
        <v>2318</v>
      </c>
      <c r="R14" s="19" t="n">
        <v>2318</v>
      </c>
      <c r="S14" s="20" t="inlineStr">
        <is>
          <t>HIGH</t>
        </is>
      </c>
      <c r="T14" s="15" t="inlineStr">
        <is>
          <t>+127.5%</t>
        </is>
      </c>
    </row>
    <row r="15">
      <c r="A15" s="8" t="inlineStr">
        <is>
          <t>PSO Carient Ultra</t>
        </is>
      </c>
      <c r="B15" s="8" t="inlineStr">
        <is>
          <t>PCMO</t>
        </is>
      </c>
      <c r="C15" s="8" t="inlineStr">
        <is>
          <t>5W-40</t>
        </is>
      </c>
      <c r="D15" s="12" t="n">
        <v>1</v>
      </c>
      <c r="E15" s="8" t="inlineStr">
        <is>
          <t>Super Premium</t>
        </is>
      </c>
      <c r="F15" s="13" t="n">
        <v>2750</v>
      </c>
      <c r="G15" s="13" t="n">
        <v>3412</v>
      </c>
      <c r="H15" s="13" t="n">
        <v>4350</v>
      </c>
      <c r="I15" s="13" t="n">
        <v>2530</v>
      </c>
      <c r="J15" s="13" t="n">
        <v>3310</v>
      </c>
      <c r="K15" s="13" t="n">
        <v>4777</v>
      </c>
      <c r="L15" s="13" t="n">
        <v>2273</v>
      </c>
      <c r="M15" s="13" t="n">
        <v>3840</v>
      </c>
      <c r="N15" s="13" t="n">
        <v>2772</v>
      </c>
      <c r="O15" s="13" t="n">
        <v>3319</v>
      </c>
      <c r="P15" s="8" t="inlineStr">
        <is>
          <t>No</t>
        </is>
      </c>
      <c r="Q15" s="19" t="n">
        <v>3319</v>
      </c>
      <c r="R15" s="19" t="n">
        <v>3319</v>
      </c>
      <c r="S15" s="20" t="inlineStr">
        <is>
          <t>HIGH</t>
        </is>
      </c>
      <c r="T15" s="6" t="inlineStr">
        <is>
          <t>-2.7%</t>
        </is>
      </c>
    </row>
    <row r="16">
      <c r="A16" s="8" t="inlineStr">
        <is>
          <t>PSO Carient Ultra</t>
        </is>
      </c>
      <c r="B16" s="8" t="inlineStr">
        <is>
          <t>PCMO</t>
        </is>
      </c>
      <c r="C16" s="8" t="inlineStr">
        <is>
          <t>0W-20</t>
        </is>
      </c>
      <c r="D16" s="12" t="n">
        <v>3</v>
      </c>
      <c r="E16" s="8" t="inlineStr">
        <is>
          <t>Super Premium</t>
        </is>
      </c>
      <c r="F16" s="13" t="n">
        <v>3375</v>
      </c>
      <c r="G16" s="13" t="n">
        <v>3412</v>
      </c>
      <c r="H16" s="13" t="n">
        <v>4012</v>
      </c>
      <c r="I16" s="13" t="n"/>
      <c r="J16" s="13" t="n">
        <v>3310</v>
      </c>
      <c r="K16" s="13" t="n">
        <v>3821</v>
      </c>
      <c r="L16" s="13" t="n">
        <v>2352</v>
      </c>
      <c r="M16" s="13" t="n">
        <v>5135</v>
      </c>
      <c r="N16" s="13" t="n">
        <v>2940</v>
      </c>
      <c r="O16" s="13" t="n">
        <v>3580</v>
      </c>
      <c r="P16" s="8" t="inlineStr">
        <is>
          <t>No</t>
        </is>
      </c>
      <c r="Q16" s="19" t="n">
        <v>3580</v>
      </c>
      <c r="R16" s="19" t="n">
        <v>10740</v>
      </c>
      <c r="S16" s="20" t="inlineStr">
        <is>
          <t>HIGH</t>
        </is>
      </c>
      <c r="T16" s="6" t="inlineStr">
        <is>
          <t>+4.9%</t>
        </is>
      </c>
    </row>
    <row r="17">
      <c r="A17" s="8" t="inlineStr">
        <is>
          <t>PSO Carient Ultra</t>
        </is>
      </c>
      <c r="B17" s="8" t="inlineStr">
        <is>
          <t>PCMO</t>
        </is>
      </c>
      <c r="C17" s="8" t="inlineStr">
        <is>
          <t>5W-20</t>
        </is>
      </c>
      <c r="D17" s="12" t="n">
        <v>3</v>
      </c>
      <c r="E17" s="8" t="inlineStr">
        <is>
          <t>Super Premium</t>
        </is>
      </c>
      <c r="F17" s="13" t="n">
        <v>1833</v>
      </c>
      <c r="G17" s="13" t="n">
        <v>1833</v>
      </c>
      <c r="H17" s="13" t="n">
        <v>1833</v>
      </c>
      <c r="I17" s="13" t="n"/>
      <c r="J17" s="13" t="n">
        <v>1778</v>
      </c>
      <c r="K17" s="13" t="n">
        <v>2128</v>
      </c>
      <c r="L17" s="13" t="n">
        <v>2307</v>
      </c>
      <c r="M17" s="13" t="n">
        <v>2346</v>
      </c>
      <c r="N17" s="13" t="n">
        <v>2884</v>
      </c>
      <c r="O17" s="13" t="n">
        <v>2035</v>
      </c>
      <c r="P17" s="21" t="inlineStr">
        <is>
          <t>YES -- raised to F4</t>
        </is>
      </c>
      <c r="Q17" s="19" t="n">
        <v>2307</v>
      </c>
      <c r="R17" s="19" t="n">
        <v>6921</v>
      </c>
      <c r="S17" s="20" t="inlineStr">
        <is>
          <t>HIGH</t>
        </is>
      </c>
      <c r="T17" s="15" t="inlineStr">
        <is>
          <t>+25.9%</t>
        </is>
      </c>
    </row>
    <row r="18">
      <c r="A18" s="8" t="inlineStr">
        <is>
          <t>PSO Carient Ultra</t>
        </is>
      </c>
      <c r="B18" s="8" t="inlineStr">
        <is>
          <t>PCMO</t>
        </is>
      </c>
      <c r="C18" s="8" t="inlineStr">
        <is>
          <t>5W-30</t>
        </is>
      </c>
      <c r="D18" s="12" t="n">
        <v>3</v>
      </c>
      <c r="E18" s="8" t="inlineStr">
        <is>
          <t>Super Premium</t>
        </is>
      </c>
      <c r="F18" s="13" t="n">
        <v>997</v>
      </c>
      <c r="G18" s="13" t="n">
        <v>1130</v>
      </c>
      <c r="H18" s="13" t="n">
        <v>1466</v>
      </c>
      <c r="I18" s="13" t="n"/>
      <c r="J18" s="13" t="n">
        <v>1096</v>
      </c>
      <c r="K18" s="13" t="n">
        <v>1141</v>
      </c>
      <c r="L18" s="13" t="n">
        <v>2261</v>
      </c>
      <c r="M18" s="13" t="n">
        <v>1440</v>
      </c>
      <c r="N18" s="13" t="n">
        <v>2828</v>
      </c>
      <c r="O18" s="13" t="n">
        <v>1324</v>
      </c>
      <c r="P18" s="21" t="inlineStr">
        <is>
          <t>YES -- raised to F4</t>
        </is>
      </c>
      <c r="Q18" s="19" t="n">
        <v>2261</v>
      </c>
      <c r="R18" s="19" t="n">
        <v>6783</v>
      </c>
      <c r="S18" s="20" t="inlineStr">
        <is>
          <t>HIGH</t>
        </is>
      </c>
      <c r="T18" s="15" t="inlineStr">
        <is>
          <t>+100.1%</t>
        </is>
      </c>
    </row>
    <row r="19">
      <c r="A19" s="8" t="inlineStr">
        <is>
          <t>PSO Carient Ultra</t>
        </is>
      </c>
      <c r="B19" s="8" t="inlineStr">
        <is>
          <t>PCMO</t>
        </is>
      </c>
      <c r="C19" s="8" t="inlineStr">
        <is>
          <t>5W-40</t>
        </is>
      </c>
      <c r="D19" s="12" t="n">
        <v>3</v>
      </c>
      <c r="E19" s="8" t="inlineStr">
        <is>
          <t>Super Premium</t>
        </is>
      </c>
      <c r="F19" s="13" t="n">
        <v>2750</v>
      </c>
      <c r="G19" s="13" t="n">
        <v>3412</v>
      </c>
      <c r="H19" s="13" t="n">
        <v>4350</v>
      </c>
      <c r="I19" s="13" t="n">
        <v>2530</v>
      </c>
      <c r="J19" s="13" t="n">
        <v>3310</v>
      </c>
      <c r="K19" s="13" t="n">
        <v>3821</v>
      </c>
      <c r="L19" s="13" t="n">
        <v>2216</v>
      </c>
      <c r="M19" s="13" t="n">
        <v>3840</v>
      </c>
      <c r="N19" s="13" t="n">
        <v>2772</v>
      </c>
      <c r="O19" s="13" t="n">
        <v>3122</v>
      </c>
      <c r="P19" s="8" t="inlineStr">
        <is>
          <t>No</t>
        </is>
      </c>
      <c r="Q19" s="19" t="n">
        <v>3122</v>
      </c>
      <c r="R19" s="19" t="n">
        <v>9366</v>
      </c>
      <c r="S19" s="20" t="inlineStr">
        <is>
          <t>HIGH</t>
        </is>
      </c>
      <c r="T19" s="6" t="inlineStr">
        <is>
          <t>-8.5%</t>
        </is>
      </c>
    </row>
    <row r="20">
      <c r="A20" s="8" t="inlineStr">
        <is>
          <t>PSO Carient Ultra</t>
        </is>
      </c>
      <c r="B20" s="8" t="inlineStr">
        <is>
          <t>PCMO</t>
        </is>
      </c>
      <c r="C20" s="8" t="inlineStr">
        <is>
          <t>0W-20</t>
        </is>
      </c>
      <c r="D20" s="12" t="n">
        <v>4</v>
      </c>
      <c r="E20" s="8" t="inlineStr">
        <is>
          <t>Super Premium</t>
        </is>
      </c>
      <c r="F20" s="13" t="n">
        <v>3375</v>
      </c>
      <c r="G20" s="13" t="n">
        <v>3412</v>
      </c>
      <c r="H20" s="13" t="n">
        <v>4012</v>
      </c>
      <c r="I20" s="13" t="n"/>
      <c r="J20" s="13" t="n">
        <v>3310</v>
      </c>
      <c r="K20" s="13" t="n">
        <v>3412</v>
      </c>
      <c r="L20" s="13" t="n">
        <v>2352</v>
      </c>
      <c r="M20" s="13" t="n">
        <v>5135</v>
      </c>
      <c r="N20" s="13" t="n">
        <v>2940</v>
      </c>
      <c r="O20" s="13" t="n">
        <v>3463</v>
      </c>
      <c r="P20" s="8" t="inlineStr">
        <is>
          <t>No</t>
        </is>
      </c>
      <c r="Q20" s="19" t="n">
        <v>3463</v>
      </c>
      <c r="R20" s="19" t="n">
        <v>13852</v>
      </c>
      <c r="S20" s="20" t="inlineStr">
        <is>
          <t>HIGH</t>
        </is>
      </c>
      <c r="T20" s="6" t="inlineStr">
        <is>
          <t>+1.5%</t>
        </is>
      </c>
    </row>
    <row r="21">
      <c r="A21" s="8" t="inlineStr">
        <is>
          <t>PSO Carient Ultra</t>
        </is>
      </c>
      <c r="B21" s="8" t="inlineStr">
        <is>
          <t>PCMO</t>
        </is>
      </c>
      <c r="C21" s="8" t="inlineStr">
        <is>
          <t>5W-20</t>
        </is>
      </c>
      <c r="D21" s="12" t="n">
        <v>4</v>
      </c>
      <c r="E21" s="8" t="inlineStr">
        <is>
          <t>Super Premium</t>
        </is>
      </c>
      <c r="F21" s="13" t="n">
        <v>1900</v>
      </c>
      <c r="G21" s="13" t="n">
        <v>1900</v>
      </c>
      <c r="H21" s="13" t="n">
        <v>2400</v>
      </c>
      <c r="I21" s="13" t="n"/>
      <c r="J21" s="13" t="n">
        <v>1843</v>
      </c>
      <c r="K21" s="13" t="n">
        <v>1900</v>
      </c>
      <c r="L21" s="13" t="n">
        <v>2307</v>
      </c>
      <c r="M21" s="13" t="n">
        <v>2432</v>
      </c>
      <c r="N21" s="13" t="n">
        <v>2884</v>
      </c>
      <c r="O21" s="13" t="n">
        <v>2010</v>
      </c>
      <c r="P21" s="21" t="inlineStr">
        <is>
          <t>YES -- raised to F4</t>
        </is>
      </c>
      <c r="Q21" s="19" t="n">
        <v>2307</v>
      </c>
      <c r="R21" s="19" t="n">
        <v>9228</v>
      </c>
      <c r="S21" s="20" t="inlineStr">
        <is>
          <t>HIGH</t>
        </is>
      </c>
      <c r="T21" s="15" t="inlineStr">
        <is>
          <t>+21.4%</t>
        </is>
      </c>
    </row>
    <row r="22">
      <c r="A22" s="8" t="inlineStr">
        <is>
          <t>PSO Carient Ultra</t>
        </is>
      </c>
      <c r="B22" s="8" t="inlineStr">
        <is>
          <t>PCMO</t>
        </is>
      </c>
      <c r="C22" s="8" t="inlineStr">
        <is>
          <t>5W-30</t>
        </is>
      </c>
      <c r="D22" s="12" t="n">
        <v>4</v>
      </c>
      <c r="E22" s="8" t="inlineStr">
        <is>
          <t>Super Premium</t>
        </is>
      </c>
      <c r="F22" s="13" t="n">
        <v>876</v>
      </c>
      <c r="G22" s="13" t="n">
        <v>1019</v>
      </c>
      <c r="H22" s="13" t="n">
        <v>1500</v>
      </c>
      <c r="I22" s="13" t="n"/>
      <c r="J22" s="13" t="n">
        <v>988</v>
      </c>
      <c r="K22" s="13" t="n">
        <v>1019</v>
      </c>
      <c r="L22" s="13" t="n">
        <v>2261</v>
      </c>
      <c r="M22" s="13" t="n">
        <v>1440</v>
      </c>
      <c r="N22" s="13" t="n">
        <v>2828</v>
      </c>
      <c r="O22" s="13" t="n">
        <v>1243</v>
      </c>
      <c r="P22" s="21" t="inlineStr">
        <is>
          <t>YES -- raised to F4</t>
        </is>
      </c>
      <c r="Q22" s="19" t="n">
        <v>2261</v>
      </c>
      <c r="R22" s="19" t="n">
        <v>9044</v>
      </c>
      <c r="S22" s="20" t="inlineStr">
        <is>
          <t>HIGH</t>
        </is>
      </c>
      <c r="T22" s="15" t="inlineStr">
        <is>
          <t>+121.9%</t>
        </is>
      </c>
    </row>
    <row r="23">
      <c r="A23" s="8" t="inlineStr">
        <is>
          <t>PSO Carient Ultra</t>
        </is>
      </c>
      <c r="B23" s="8" t="inlineStr">
        <is>
          <t>PCMO</t>
        </is>
      </c>
      <c r="C23" s="8" t="inlineStr">
        <is>
          <t>5W-40</t>
        </is>
      </c>
      <c r="D23" s="12" t="n">
        <v>4</v>
      </c>
      <c r="E23" s="8" t="inlineStr">
        <is>
          <t>Super Premium</t>
        </is>
      </c>
      <c r="F23" s="13" t="n">
        <v>2750</v>
      </c>
      <c r="G23" s="13" t="n">
        <v>3412</v>
      </c>
      <c r="H23" s="13" t="n">
        <v>4350</v>
      </c>
      <c r="I23" s="13" t="n">
        <v>2530</v>
      </c>
      <c r="J23" s="13" t="n">
        <v>3310</v>
      </c>
      <c r="K23" s="13" t="n">
        <v>3412</v>
      </c>
      <c r="L23" s="13" t="n">
        <v>2216</v>
      </c>
      <c r="M23" s="13" t="n">
        <v>3840</v>
      </c>
      <c r="N23" s="13" t="n">
        <v>2772</v>
      </c>
      <c r="O23" s="13" t="n">
        <v>3040</v>
      </c>
      <c r="P23" s="8" t="inlineStr">
        <is>
          <t>No</t>
        </is>
      </c>
      <c r="Q23" s="19" t="n">
        <v>3040</v>
      </c>
      <c r="R23" s="19" t="n">
        <v>12160</v>
      </c>
      <c r="S23" s="20" t="inlineStr">
        <is>
          <t>HIGH</t>
        </is>
      </c>
      <c r="T23" s="21" t="inlineStr">
        <is>
          <t>-10.9%</t>
        </is>
      </c>
    </row>
    <row r="24">
      <c r="A24" s="8" t="inlineStr">
        <is>
          <t>PSO Carient Plus</t>
        </is>
      </c>
      <c r="B24" s="8" t="inlineStr">
        <is>
          <t>PCMO</t>
        </is>
      </c>
      <c r="C24" s="8" t="inlineStr">
        <is>
          <t>10W-40</t>
        </is>
      </c>
      <c r="D24" s="12" t="n">
        <v>1</v>
      </c>
      <c r="E24" s="8" t="inlineStr">
        <is>
          <t>Mainstream</t>
        </is>
      </c>
      <c r="F24" s="13" t="n">
        <v>1660</v>
      </c>
      <c r="G24" s="13" t="n">
        <v>2300</v>
      </c>
      <c r="H24" s="13" t="n">
        <v>2300</v>
      </c>
      <c r="I24" s="13" t="n">
        <v>1040</v>
      </c>
      <c r="J24" s="13" t="n">
        <v>2231</v>
      </c>
      <c r="K24" s="13" t="n">
        <v>1435</v>
      </c>
      <c r="L24" s="13" t="n">
        <v>1107</v>
      </c>
      <c r="M24" s="13" t="n">
        <v>1145</v>
      </c>
      <c r="N24" s="13" t="n">
        <v>1708</v>
      </c>
      <c r="O24" s="13" t="n">
        <v>1494</v>
      </c>
      <c r="P24" s="8" t="inlineStr">
        <is>
          <t>No</t>
        </is>
      </c>
      <c r="Q24" s="19" t="n">
        <v>1494</v>
      </c>
      <c r="R24" s="19" t="n">
        <v>1494</v>
      </c>
      <c r="S24" s="20" t="inlineStr">
        <is>
          <t>HIGH</t>
        </is>
      </c>
      <c r="T24" s="21" t="inlineStr">
        <is>
          <t>-35.0%</t>
        </is>
      </c>
    </row>
    <row r="25">
      <c r="A25" s="8" t="inlineStr">
        <is>
          <t>PSO Carient Plus</t>
        </is>
      </c>
      <c r="B25" s="8" t="inlineStr">
        <is>
          <t>PCMO</t>
        </is>
      </c>
      <c r="C25" s="8" t="inlineStr">
        <is>
          <t>15W-40</t>
        </is>
      </c>
      <c r="D25" s="12" t="n">
        <v>1</v>
      </c>
      <c r="E25" s="8" t="inlineStr">
        <is>
          <t>Mainstream</t>
        </is>
      </c>
      <c r="F25" s="13" t="n">
        <v>1088</v>
      </c>
      <c r="G25" s="13" t="n">
        <v>1750</v>
      </c>
      <c r="H25" s="13" t="n">
        <v>2262</v>
      </c>
      <c r="I25" s="13" t="n"/>
      <c r="J25" s="13" t="n">
        <v>1698</v>
      </c>
      <c r="K25" s="13" t="n">
        <v>2450</v>
      </c>
      <c r="L25" s="13" t="n">
        <v>1071</v>
      </c>
      <c r="M25" s="13" t="n">
        <v>1175</v>
      </c>
      <c r="N25" s="13" t="n">
        <v>1652</v>
      </c>
      <c r="O25" s="13" t="n">
        <v>1749</v>
      </c>
      <c r="P25" s="8" t="inlineStr">
        <is>
          <t>No</t>
        </is>
      </c>
      <c r="Q25" s="19" t="n">
        <v>1749</v>
      </c>
      <c r="R25" s="19" t="n">
        <v>1749</v>
      </c>
      <c r="S25" s="20" t="inlineStr">
        <is>
          <t>HIGH</t>
        </is>
      </c>
      <c r="T25" s="6" t="inlineStr">
        <is>
          <t>-0.1%</t>
        </is>
      </c>
    </row>
    <row r="26">
      <c r="A26" s="8" t="inlineStr">
        <is>
          <t>PSO Carient Plus</t>
        </is>
      </c>
      <c r="B26" s="8" t="inlineStr">
        <is>
          <t>PCMO</t>
        </is>
      </c>
      <c r="C26" s="8" t="inlineStr">
        <is>
          <t>20W-50</t>
        </is>
      </c>
      <c r="D26" s="12" t="n">
        <v>1</v>
      </c>
      <c r="E26" s="8" t="inlineStr">
        <is>
          <t>Mainstream</t>
        </is>
      </c>
      <c r="F26" s="13" t="n">
        <v>1390</v>
      </c>
      <c r="G26" s="13" t="n">
        <v>1550</v>
      </c>
      <c r="H26" s="13" t="n">
        <v>2400</v>
      </c>
      <c r="I26" s="13" t="n"/>
      <c r="J26" s="13" t="n">
        <v>1504</v>
      </c>
      <c r="K26" s="13" t="n">
        <v>1435</v>
      </c>
      <c r="L26" s="13" t="n">
        <v>768</v>
      </c>
      <c r="M26" s="13" t="n">
        <v>1338</v>
      </c>
      <c r="N26" s="13" t="n">
        <v>1176</v>
      </c>
      <c r="O26" s="13" t="n">
        <v>1355</v>
      </c>
      <c r="P26" s="8" t="inlineStr">
        <is>
          <t>No</t>
        </is>
      </c>
      <c r="Q26" s="19" t="n">
        <v>1355</v>
      </c>
      <c r="R26" s="19" t="n">
        <v>1355</v>
      </c>
      <c r="S26" s="20" t="inlineStr">
        <is>
          <t>HIGH</t>
        </is>
      </c>
      <c r="T26" s="21" t="inlineStr">
        <is>
          <t>-12.6%</t>
        </is>
      </c>
    </row>
    <row r="27">
      <c r="A27" s="8" t="inlineStr">
        <is>
          <t>PSO Carient Plus</t>
        </is>
      </c>
      <c r="B27" s="8" t="inlineStr">
        <is>
          <t>PCMO</t>
        </is>
      </c>
      <c r="C27" s="8" t="inlineStr">
        <is>
          <t>10W-40</t>
        </is>
      </c>
      <c r="D27" s="12" t="n">
        <v>3</v>
      </c>
      <c r="E27" s="8" t="inlineStr">
        <is>
          <t>Mainstream</t>
        </is>
      </c>
      <c r="F27" s="13" t="n">
        <v>909</v>
      </c>
      <c r="G27" s="13" t="n">
        <v>1542</v>
      </c>
      <c r="H27" s="13" t="n">
        <v>2333</v>
      </c>
      <c r="I27" s="13" t="n">
        <v>1520</v>
      </c>
      <c r="J27" s="13" t="n">
        <v>1496</v>
      </c>
      <c r="K27" s="13" t="n">
        <v>1148</v>
      </c>
      <c r="L27" s="13" t="n">
        <v>1062</v>
      </c>
      <c r="M27" s="13" t="n">
        <v>1145</v>
      </c>
      <c r="N27" s="13" t="n">
        <v>1708</v>
      </c>
      <c r="O27" s="13" t="n">
        <v>1355</v>
      </c>
      <c r="P27" s="8" t="inlineStr">
        <is>
          <t>No</t>
        </is>
      </c>
      <c r="Q27" s="19" t="n">
        <v>1355</v>
      </c>
      <c r="R27" s="19" t="n">
        <v>4065</v>
      </c>
      <c r="S27" s="20" t="inlineStr">
        <is>
          <t>HIGH</t>
        </is>
      </c>
      <c r="T27" s="21" t="inlineStr">
        <is>
          <t>-12.1%</t>
        </is>
      </c>
    </row>
    <row r="28">
      <c r="A28" s="8" t="inlineStr">
        <is>
          <t>PSO Carient Plus</t>
        </is>
      </c>
      <c r="B28" s="8" t="inlineStr">
        <is>
          <t>PCMO</t>
        </is>
      </c>
      <c r="C28" s="8" t="inlineStr">
        <is>
          <t>15W-40</t>
        </is>
      </c>
      <c r="D28" s="12" t="n">
        <v>3</v>
      </c>
      <c r="E28" s="8" t="inlineStr">
        <is>
          <t>Mainstream</t>
        </is>
      </c>
      <c r="F28" s="13" t="n">
        <v>1088</v>
      </c>
      <c r="G28" s="13" t="n">
        <v>1750</v>
      </c>
      <c r="H28" s="13" t="n">
        <v>2262</v>
      </c>
      <c r="I28" s="13" t="n"/>
      <c r="J28" s="13" t="n">
        <v>1698</v>
      </c>
      <c r="K28" s="13" t="n">
        <v>1960</v>
      </c>
      <c r="L28" s="13" t="n">
        <v>1027</v>
      </c>
      <c r="M28" s="13" t="n">
        <v>1175</v>
      </c>
      <c r="N28" s="13" t="n">
        <v>1652</v>
      </c>
      <c r="O28" s="13" t="n">
        <v>1602</v>
      </c>
      <c r="P28" s="8" t="inlineStr">
        <is>
          <t>No</t>
        </is>
      </c>
      <c r="Q28" s="19" t="n">
        <v>1602</v>
      </c>
      <c r="R28" s="19" t="n">
        <v>4806</v>
      </c>
      <c r="S28" s="20" t="inlineStr">
        <is>
          <t>HIGH</t>
        </is>
      </c>
      <c r="T28" s="6" t="inlineStr">
        <is>
          <t>-8.5%</t>
        </is>
      </c>
    </row>
    <row r="29">
      <c r="A29" s="8" t="inlineStr">
        <is>
          <t>PSO Carient Plus</t>
        </is>
      </c>
      <c r="B29" s="8" t="inlineStr">
        <is>
          <t>PCMO</t>
        </is>
      </c>
      <c r="C29" s="8" t="inlineStr">
        <is>
          <t>20W-50</t>
        </is>
      </c>
      <c r="D29" s="12" t="n">
        <v>3</v>
      </c>
      <c r="E29" s="8" t="inlineStr">
        <is>
          <t>Mainstream</t>
        </is>
      </c>
      <c r="F29" s="13" t="n">
        <v>927</v>
      </c>
      <c r="G29" s="13" t="n">
        <v>1183</v>
      </c>
      <c r="H29" s="13" t="n">
        <v>1900</v>
      </c>
      <c r="I29" s="13" t="n"/>
      <c r="J29" s="13" t="n">
        <v>1148</v>
      </c>
      <c r="K29" s="13" t="n">
        <v>1148</v>
      </c>
      <c r="L29" s="13" t="n">
        <v>723</v>
      </c>
      <c r="M29" s="13" t="n">
        <v>1338</v>
      </c>
      <c r="N29" s="13" t="n">
        <v>1176</v>
      </c>
      <c r="O29" s="13" t="n">
        <v>1114</v>
      </c>
      <c r="P29" s="8" t="inlineStr">
        <is>
          <t>No</t>
        </is>
      </c>
      <c r="Q29" s="19" t="n">
        <v>1114</v>
      </c>
      <c r="R29" s="19" t="n">
        <v>3342</v>
      </c>
      <c r="S29" s="20" t="inlineStr">
        <is>
          <t>HIGH</t>
        </is>
      </c>
      <c r="T29" s="6" t="inlineStr">
        <is>
          <t>-5.8%</t>
        </is>
      </c>
    </row>
    <row r="30">
      <c r="A30" s="8" t="inlineStr">
        <is>
          <t>PSO Carient Plus</t>
        </is>
      </c>
      <c r="B30" s="8" t="inlineStr">
        <is>
          <t>PCMO</t>
        </is>
      </c>
      <c r="C30" s="8" t="inlineStr">
        <is>
          <t>10W-40</t>
        </is>
      </c>
      <c r="D30" s="12" t="n">
        <v>4</v>
      </c>
      <c r="E30" s="8" t="inlineStr">
        <is>
          <t>Mainstream</t>
        </is>
      </c>
      <c r="F30" s="13" t="n">
        <v>922</v>
      </c>
      <c r="G30" s="13" t="n">
        <v>1025</v>
      </c>
      <c r="H30" s="13" t="n">
        <v>2150</v>
      </c>
      <c r="I30" s="13" t="n">
        <v>984</v>
      </c>
      <c r="J30" s="13" t="n">
        <v>994</v>
      </c>
      <c r="K30" s="13" t="n">
        <v>1025</v>
      </c>
      <c r="L30" s="13" t="n">
        <v>1062</v>
      </c>
      <c r="M30" s="13" t="n">
        <v>1145</v>
      </c>
      <c r="N30" s="13" t="n">
        <v>1708</v>
      </c>
      <c r="O30" s="13" t="n">
        <v>1019</v>
      </c>
      <c r="P30" s="21" t="inlineStr">
        <is>
          <t>YES -- raised to F4</t>
        </is>
      </c>
      <c r="Q30" s="19" t="n">
        <v>1062</v>
      </c>
      <c r="R30" s="19" t="n">
        <v>4248</v>
      </c>
      <c r="S30" s="20" t="inlineStr">
        <is>
          <t>HIGH</t>
        </is>
      </c>
      <c r="T30" s="6" t="inlineStr">
        <is>
          <t>+3.6%</t>
        </is>
      </c>
    </row>
    <row r="31">
      <c r="A31" s="8" t="inlineStr">
        <is>
          <t>PSO Carient Plus</t>
        </is>
      </c>
      <c r="B31" s="8" t="inlineStr">
        <is>
          <t>PCMO</t>
        </is>
      </c>
      <c r="C31" s="8" t="inlineStr">
        <is>
          <t>15W-40</t>
        </is>
      </c>
      <c r="D31" s="12" t="n">
        <v>4</v>
      </c>
      <c r="E31" s="8" t="inlineStr">
        <is>
          <t>Mainstream</t>
        </is>
      </c>
      <c r="F31" s="13" t="n">
        <v>1088</v>
      </c>
      <c r="G31" s="13" t="n">
        <v>1750</v>
      </c>
      <c r="H31" s="13" t="n">
        <v>2262</v>
      </c>
      <c r="I31" s="13" t="n"/>
      <c r="J31" s="13" t="n">
        <v>1698</v>
      </c>
      <c r="K31" s="13" t="n">
        <v>1750</v>
      </c>
      <c r="L31" s="13" t="n">
        <v>1027</v>
      </c>
      <c r="M31" s="13" t="n">
        <v>1175</v>
      </c>
      <c r="N31" s="13" t="n">
        <v>1652</v>
      </c>
      <c r="O31" s="13" t="n">
        <v>1542</v>
      </c>
      <c r="P31" s="8" t="inlineStr">
        <is>
          <t>No</t>
        </is>
      </c>
      <c r="Q31" s="19" t="n">
        <v>1542</v>
      </c>
      <c r="R31" s="19" t="n">
        <v>6168</v>
      </c>
      <c r="S31" s="20" t="inlineStr">
        <is>
          <t>HIGH</t>
        </is>
      </c>
      <c r="T31" s="21" t="inlineStr">
        <is>
          <t>-11.9%</t>
        </is>
      </c>
    </row>
    <row r="32">
      <c r="A32" s="8" t="inlineStr">
        <is>
          <t>PSO Carient Plus</t>
        </is>
      </c>
      <c r="B32" s="8" t="inlineStr">
        <is>
          <t>PCMO</t>
        </is>
      </c>
      <c r="C32" s="8" t="inlineStr">
        <is>
          <t>20W-50</t>
        </is>
      </c>
      <c r="D32" s="12" t="n">
        <v>4</v>
      </c>
      <c r="E32" s="8" t="inlineStr">
        <is>
          <t>Mainstream</t>
        </is>
      </c>
      <c r="F32" s="13" t="n">
        <v>796</v>
      </c>
      <c r="G32" s="13" t="n">
        <v>1025</v>
      </c>
      <c r="H32" s="13" t="n">
        <v>2375</v>
      </c>
      <c r="I32" s="13" t="n"/>
      <c r="J32" s="13" t="n">
        <v>994</v>
      </c>
      <c r="K32" s="13" t="n">
        <v>1025</v>
      </c>
      <c r="L32" s="13" t="n">
        <v>723</v>
      </c>
      <c r="M32" s="13" t="n">
        <v>1338</v>
      </c>
      <c r="N32" s="13" t="n">
        <v>1176</v>
      </c>
      <c r="O32" s="13" t="n">
        <v>1013</v>
      </c>
      <c r="P32" s="8" t="inlineStr">
        <is>
          <t>No</t>
        </is>
      </c>
      <c r="Q32" s="19" t="n">
        <v>1013</v>
      </c>
      <c r="R32" s="19" t="n">
        <v>4052</v>
      </c>
      <c r="S32" s="20" t="inlineStr">
        <is>
          <t>HIGH</t>
        </is>
      </c>
      <c r="T32" s="6" t="inlineStr">
        <is>
          <t>-1.2%</t>
        </is>
      </c>
    </row>
    <row r="33">
      <c r="A33" s="8" t="inlineStr">
        <is>
          <t>PSO Blaze 4T</t>
        </is>
      </c>
      <c r="B33" s="8" t="inlineStr">
        <is>
          <t>MCO</t>
        </is>
      </c>
      <c r="C33" s="8" t="inlineStr">
        <is>
          <t>10W-40</t>
        </is>
      </c>
      <c r="D33" s="12" t="n">
        <v>1</v>
      </c>
      <c r="E33" s="8" t="inlineStr">
        <is>
          <t>Mainstream</t>
        </is>
      </c>
      <c r="F33" s="13" t="n">
        <v>1660</v>
      </c>
      <c r="G33" s="13" t="n">
        <v>2300</v>
      </c>
      <c r="H33" s="13" t="n">
        <v>2300</v>
      </c>
      <c r="I33" s="13" t="n">
        <v>1040</v>
      </c>
      <c r="J33" s="13" t="n">
        <v>2231</v>
      </c>
      <c r="K33" s="13" t="n">
        <v>1435</v>
      </c>
      <c r="L33" s="13" t="n">
        <v>1107</v>
      </c>
      <c r="M33" s="13" t="n">
        <v>1145</v>
      </c>
      <c r="N33" s="13" t="n">
        <v>1708</v>
      </c>
      <c r="O33" s="13" t="n">
        <v>1494</v>
      </c>
      <c r="P33" s="8" t="inlineStr">
        <is>
          <t>No</t>
        </is>
      </c>
      <c r="Q33" s="19" t="n">
        <v>1494</v>
      </c>
      <c r="R33" s="19" t="n">
        <v>1494</v>
      </c>
      <c r="S33" s="20" t="inlineStr">
        <is>
          <t>HIGH</t>
        </is>
      </c>
      <c r="T33" s="21" t="inlineStr">
        <is>
          <t>-35.0%</t>
        </is>
      </c>
    </row>
    <row r="34">
      <c r="A34" s="8" t="inlineStr">
        <is>
          <t>PSO Blaze 4T</t>
        </is>
      </c>
      <c r="B34" s="8" t="inlineStr">
        <is>
          <t>MCO</t>
        </is>
      </c>
      <c r="C34" s="8" t="inlineStr">
        <is>
          <t>20W-50</t>
        </is>
      </c>
      <c r="D34" s="12" t="n">
        <v>1</v>
      </c>
      <c r="E34" s="8" t="inlineStr">
        <is>
          <t>Mainstream</t>
        </is>
      </c>
      <c r="F34" s="13" t="n">
        <v>1390</v>
      </c>
      <c r="G34" s="13" t="n">
        <v>1550</v>
      </c>
      <c r="H34" s="13" t="n">
        <v>2400</v>
      </c>
      <c r="I34" s="13" t="n"/>
      <c r="J34" s="13" t="n">
        <v>1504</v>
      </c>
      <c r="K34" s="13" t="n">
        <v>1435</v>
      </c>
      <c r="L34" s="13" t="n">
        <v>768</v>
      </c>
      <c r="M34" s="13" t="n">
        <v>1338</v>
      </c>
      <c r="N34" s="13" t="n">
        <v>1176</v>
      </c>
      <c r="O34" s="13" t="n">
        <v>1355</v>
      </c>
      <c r="P34" s="8" t="inlineStr">
        <is>
          <t>No</t>
        </is>
      </c>
      <c r="Q34" s="19" t="n">
        <v>1355</v>
      </c>
      <c r="R34" s="19" t="n">
        <v>1355</v>
      </c>
      <c r="S34" s="20" t="inlineStr">
        <is>
          <t>HIGH</t>
        </is>
      </c>
      <c r="T34" s="21" t="inlineStr">
        <is>
          <t>-12.6%</t>
        </is>
      </c>
    </row>
    <row r="35">
      <c r="A35" s="8" t="inlineStr">
        <is>
          <t>PSO Blaze 4T</t>
        </is>
      </c>
      <c r="B35" s="8" t="inlineStr">
        <is>
          <t>MCO</t>
        </is>
      </c>
      <c r="C35" s="8" t="inlineStr">
        <is>
          <t>10W-40</t>
        </is>
      </c>
      <c r="D35" s="12" t="n">
        <v>0.7</v>
      </c>
      <c r="E35" s="8" t="inlineStr">
        <is>
          <t>Mainstream</t>
        </is>
      </c>
      <c r="F35" s="13" t="n">
        <v>909</v>
      </c>
      <c r="G35" s="13" t="n">
        <v>1125</v>
      </c>
      <c r="H35" s="13" t="n">
        <v>2333</v>
      </c>
      <c r="I35" s="13" t="n">
        <v>1040</v>
      </c>
      <c r="J35" s="13" t="n">
        <v>1091</v>
      </c>
      <c r="K35" s="13" t="n">
        <v>1025</v>
      </c>
      <c r="L35" s="13" t="n">
        <v>1107</v>
      </c>
      <c r="M35" s="13" t="n">
        <v>1145</v>
      </c>
      <c r="N35" s="13" t="n">
        <v>1708</v>
      </c>
      <c r="O35" s="13" t="n">
        <v>1070</v>
      </c>
      <c r="P35" s="21" t="inlineStr">
        <is>
          <t>YES -- raised to F4</t>
        </is>
      </c>
      <c r="Q35" s="19" t="n">
        <v>1107</v>
      </c>
      <c r="R35" s="19" t="n">
        <v>775</v>
      </c>
      <c r="S35" s="20" t="inlineStr">
        <is>
          <t>HIGH</t>
        </is>
      </c>
      <c r="T35" s="6" t="inlineStr">
        <is>
          <t>-1.6%</t>
        </is>
      </c>
    </row>
    <row r="36">
      <c r="A36" s="8" t="inlineStr">
        <is>
          <t>PSO Blaze 4T</t>
        </is>
      </c>
      <c r="B36" s="8" t="inlineStr">
        <is>
          <t>MCO</t>
        </is>
      </c>
      <c r="C36" s="8" t="inlineStr">
        <is>
          <t>20W-50</t>
        </is>
      </c>
      <c r="D36" s="12" t="n">
        <v>0.7</v>
      </c>
      <c r="E36" s="8" t="inlineStr">
        <is>
          <t>Mainstream</t>
        </is>
      </c>
      <c r="F36" s="13" t="n">
        <v>796</v>
      </c>
      <c r="G36" s="13" t="n">
        <v>1133</v>
      </c>
      <c r="H36" s="13" t="n">
        <v>2400</v>
      </c>
      <c r="I36" s="13" t="n"/>
      <c r="J36" s="13" t="n">
        <v>1099</v>
      </c>
      <c r="K36" s="13" t="n">
        <v>1025</v>
      </c>
      <c r="L36" s="13" t="n">
        <v>768</v>
      </c>
      <c r="M36" s="13" t="n">
        <v>1338</v>
      </c>
      <c r="N36" s="13" t="n">
        <v>1176</v>
      </c>
      <c r="O36" s="13" t="n">
        <v>1065</v>
      </c>
      <c r="P36" s="8" t="inlineStr">
        <is>
          <t>No</t>
        </is>
      </c>
      <c r="Q36" s="19" t="n">
        <v>1065</v>
      </c>
      <c r="R36" s="19" t="n">
        <v>746</v>
      </c>
      <c r="S36" s="20" t="inlineStr">
        <is>
          <t>HIGH</t>
        </is>
      </c>
      <c r="T36" s="6" t="inlineStr">
        <is>
          <t>-6.0%</t>
        </is>
      </c>
    </row>
    <row r="37">
      <c r="A37" s="8" t="inlineStr">
        <is>
          <t>PSO Blaze Xtreme</t>
        </is>
      </c>
      <c r="B37" s="8" t="inlineStr">
        <is>
          <t>MCO</t>
        </is>
      </c>
      <c r="C37" s="8" t="inlineStr">
        <is>
          <t>10W-40</t>
        </is>
      </c>
      <c r="D37" s="12" t="n">
        <v>1</v>
      </c>
      <c r="E37" s="8" t="inlineStr">
        <is>
          <t>Premium</t>
        </is>
      </c>
      <c r="F37" s="13" t="n">
        <v>1660</v>
      </c>
      <c r="G37" s="13" t="n">
        <v>2300</v>
      </c>
      <c r="H37" s="13" t="n">
        <v>2300</v>
      </c>
      <c r="I37" s="13" t="n"/>
      <c r="J37" s="13" t="n">
        <v>2231</v>
      </c>
      <c r="K37" s="13" t="n">
        <v>1435</v>
      </c>
      <c r="L37" s="13" t="n">
        <v>1250</v>
      </c>
      <c r="M37" s="13" t="n">
        <v>1251</v>
      </c>
      <c r="N37" s="13" t="n">
        <v>1708</v>
      </c>
      <c r="O37" s="13" t="n">
        <v>1723</v>
      </c>
      <c r="P37" s="8" t="inlineStr">
        <is>
          <t>No</t>
        </is>
      </c>
      <c r="Q37" s="19" t="n">
        <v>1723</v>
      </c>
      <c r="R37" s="19" t="n">
        <v>1723</v>
      </c>
      <c r="S37" s="20" t="inlineStr">
        <is>
          <t>HIGH</t>
        </is>
      </c>
      <c r="T37" s="21" t="inlineStr">
        <is>
          <t>-25.1%</t>
        </is>
      </c>
    </row>
    <row r="38">
      <c r="A38" s="8" t="inlineStr">
        <is>
          <t>PSO DEO 3000</t>
        </is>
      </c>
      <c r="B38" s="8" t="inlineStr">
        <is>
          <t>HDEO</t>
        </is>
      </c>
      <c r="C38" s="8" t="inlineStr">
        <is>
          <t>15W-40</t>
        </is>
      </c>
      <c r="D38" s="12" t="n">
        <v>4</v>
      </c>
      <c r="E38" s="8" t="inlineStr">
        <is>
          <t>Mainstream</t>
        </is>
      </c>
      <c r="F38" s="13" t="n">
        <v>1088</v>
      </c>
      <c r="G38" s="13" t="n">
        <v>1750</v>
      </c>
      <c r="H38" s="13" t="n">
        <v>2262</v>
      </c>
      <c r="I38" s="13" t="n"/>
      <c r="J38" s="13" t="n">
        <v>1698</v>
      </c>
      <c r="K38" s="13" t="n">
        <v>1750</v>
      </c>
      <c r="L38" s="13" t="n">
        <v>1027</v>
      </c>
      <c r="M38" s="13" t="n">
        <v>1175</v>
      </c>
      <c r="N38" s="13" t="n">
        <v>1652</v>
      </c>
      <c r="O38" s="13" t="n">
        <v>1542</v>
      </c>
      <c r="P38" s="8" t="inlineStr">
        <is>
          <t>No</t>
        </is>
      </c>
      <c r="Q38" s="19" t="n">
        <v>1542</v>
      </c>
      <c r="R38" s="19" t="n">
        <v>6168</v>
      </c>
      <c r="S38" s="20" t="inlineStr">
        <is>
          <t>HIGH</t>
        </is>
      </c>
      <c r="T38" s="21" t="inlineStr">
        <is>
          <t>-11.9%</t>
        </is>
      </c>
    </row>
    <row r="39">
      <c r="A39" s="8" t="inlineStr">
        <is>
          <t>PSO DEO 3000</t>
        </is>
      </c>
      <c r="B39" s="8" t="inlineStr">
        <is>
          <t>HDEO</t>
        </is>
      </c>
      <c r="C39" s="8" t="inlineStr">
        <is>
          <t>20W-50</t>
        </is>
      </c>
      <c r="D39" s="12" t="n">
        <v>4</v>
      </c>
      <c r="E39" s="8" t="inlineStr">
        <is>
          <t>Mainstream</t>
        </is>
      </c>
      <c r="F39" s="13" t="n">
        <v>796</v>
      </c>
      <c r="G39" s="13" t="n">
        <v>1025</v>
      </c>
      <c r="H39" s="13" t="n">
        <v>2375</v>
      </c>
      <c r="I39" s="13" t="n"/>
      <c r="J39" s="13" t="n">
        <v>994</v>
      </c>
      <c r="K39" s="13" t="n">
        <v>1025</v>
      </c>
      <c r="L39" s="13" t="n">
        <v>723</v>
      </c>
      <c r="M39" s="13" t="n">
        <v>1338</v>
      </c>
      <c r="N39" s="13" t="n">
        <v>1176</v>
      </c>
      <c r="O39" s="13" t="n">
        <v>1013</v>
      </c>
      <c r="P39" s="8" t="inlineStr">
        <is>
          <t>No</t>
        </is>
      </c>
      <c r="Q39" s="19" t="n">
        <v>1013</v>
      </c>
      <c r="R39" s="19" t="n">
        <v>4052</v>
      </c>
      <c r="S39" s="20" t="inlineStr">
        <is>
          <t>HIGH</t>
        </is>
      </c>
      <c r="T39" s="6" t="inlineStr">
        <is>
          <t>-1.2%</t>
        </is>
      </c>
    </row>
    <row r="40">
      <c r="A40" s="8" t="inlineStr">
        <is>
          <t>PSO DEO 6000</t>
        </is>
      </c>
      <c r="B40" s="8" t="inlineStr">
        <is>
          <t>HDEO</t>
        </is>
      </c>
      <c r="C40" s="8" t="inlineStr">
        <is>
          <t>15W-40</t>
        </is>
      </c>
      <c r="D40" s="12" t="n">
        <v>1</v>
      </c>
      <c r="E40" s="8" t="inlineStr">
        <is>
          <t>Premium</t>
        </is>
      </c>
      <c r="F40" s="13" t="n">
        <v>1088</v>
      </c>
      <c r="G40" s="13" t="n">
        <v>1750</v>
      </c>
      <c r="H40" s="13" t="n">
        <v>2262</v>
      </c>
      <c r="I40" s="13" t="n"/>
      <c r="J40" s="13" t="n">
        <v>1698</v>
      </c>
      <c r="K40" s="13" t="n">
        <v>2450</v>
      </c>
      <c r="L40" s="13" t="n">
        <v>1210</v>
      </c>
      <c r="M40" s="13" t="n">
        <v>1284</v>
      </c>
      <c r="N40" s="13" t="n">
        <v>1652</v>
      </c>
      <c r="O40" s="13" t="n">
        <v>1784</v>
      </c>
      <c r="P40" s="8" t="inlineStr">
        <is>
          <t>No</t>
        </is>
      </c>
      <c r="Q40" s="19" t="n">
        <v>1784</v>
      </c>
      <c r="R40" s="19" t="n">
        <v>1784</v>
      </c>
      <c r="S40" s="20" t="inlineStr">
        <is>
          <t>HIGH</t>
        </is>
      </c>
      <c r="T40" s="6" t="inlineStr">
        <is>
          <t>+1.9%</t>
        </is>
      </c>
    </row>
    <row r="41">
      <c r="A41" s="8" t="inlineStr">
        <is>
          <t>PSO DEO 6000</t>
        </is>
      </c>
      <c r="B41" s="8" t="inlineStr">
        <is>
          <t>HDEO</t>
        </is>
      </c>
      <c r="C41" s="8" t="inlineStr">
        <is>
          <t>15W-40</t>
        </is>
      </c>
      <c r="D41" s="12" t="n">
        <v>4</v>
      </c>
      <c r="E41" s="8" t="inlineStr">
        <is>
          <t>Premium</t>
        </is>
      </c>
      <c r="F41" s="13" t="n">
        <v>1088</v>
      </c>
      <c r="G41" s="13" t="n">
        <v>1750</v>
      </c>
      <c r="H41" s="13" t="n">
        <v>2262</v>
      </c>
      <c r="I41" s="13" t="n"/>
      <c r="J41" s="13" t="n">
        <v>1698</v>
      </c>
      <c r="K41" s="13" t="n">
        <v>1750</v>
      </c>
      <c r="L41" s="13" t="n">
        <v>1159</v>
      </c>
      <c r="M41" s="13" t="n">
        <v>1284</v>
      </c>
      <c r="N41" s="13" t="n">
        <v>1652</v>
      </c>
      <c r="O41" s="13" t="n">
        <v>1577</v>
      </c>
      <c r="P41" s="8" t="inlineStr">
        <is>
          <t>No</t>
        </is>
      </c>
      <c r="Q41" s="19" t="n">
        <v>1577</v>
      </c>
      <c r="R41" s="19" t="n">
        <v>6308</v>
      </c>
      <c r="S41" s="20" t="inlineStr">
        <is>
          <t>HIGH</t>
        </is>
      </c>
      <c r="T41" s="6" t="inlineStr">
        <is>
          <t>-9.9%</t>
        </is>
      </c>
    </row>
    <row r="42">
      <c r="A42" s="8" t="inlineStr">
        <is>
          <t>PSO DEO 8000</t>
        </is>
      </c>
      <c r="B42" s="8" t="inlineStr">
        <is>
          <t>HDEO</t>
        </is>
      </c>
      <c r="C42" s="8" t="inlineStr">
        <is>
          <t>10W-40</t>
        </is>
      </c>
      <c r="D42" s="12" t="n">
        <v>1</v>
      </c>
      <c r="E42" s="8" t="inlineStr">
        <is>
          <t>Super Premium</t>
        </is>
      </c>
      <c r="F42" s="13" t="n">
        <v>1660</v>
      </c>
      <c r="G42" s="13" t="n">
        <v>2300</v>
      </c>
      <c r="H42" s="13" t="n">
        <v>2300</v>
      </c>
      <c r="I42" s="13" t="n">
        <v>1042</v>
      </c>
      <c r="J42" s="13" t="n">
        <v>2231</v>
      </c>
      <c r="K42" s="13" t="n">
        <v>1435</v>
      </c>
      <c r="L42" s="13" t="n">
        <v>1409</v>
      </c>
      <c r="M42" s="13" t="n">
        <v>1357</v>
      </c>
      <c r="N42" s="13" t="n">
        <v>1708</v>
      </c>
      <c r="O42" s="13" t="n">
        <v>1546</v>
      </c>
      <c r="P42" s="8" t="inlineStr">
        <is>
          <t>No</t>
        </is>
      </c>
      <c r="Q42" s="19" t="n">
        <v>1546</v>
      </c>
      <c r="R42" s="19" t="n">
        <v>1546</v>
      </c>
      <c r="S42" s="20" t="inlineStr">
        <is>
          <t>HIGH</t>
        </is>
      </c>
      <c r="T42" s="21" t="inlineStr">
        <is>
          <t>-32.8%</t>
        </is>
      </c>
    </row>
    <row r="43">
      <c r="A43" s="8" t="inlineStr">
        <is>
          <t>PSO DEO 8000</t>
        </is>
      </c>
      <c r="B43" s="8" t="inlineStr">
        <is>
          <t>HDEO</t>
        </is>
      </c>
      <c r="C43" s="8" t="inlineStr">
        <is>
          <t>15W-40</t>
        </is>
      </c>
      <c r="D43" s="12" t="n">
        <v>1</v>
      </c>
      <c r="E43" s="8" t="inlineStr">
        <is>
          <t>Super Premium</t>
        </is>
      </c>
      <c r="F43" s="13" t="n">
        <v>1088</v>
      </c>
      <c r="G43" s="13" t="n">
        <v>1750</v>
      </c>
      <c r="H43" s="13" t="n">
        <v>2262</v>
      </c>
      <c r="I43" s="13" t="n"/>
      <c r="J43" s="13" t="n">
        <v>1698</v>
      </c>
      <c r="K43" s="13" t="n">
        <v>2450</v>
      </c>
      <c r="L43" s="13" t="n">
        <v>1364</v>
      </c>
      <c r="M43" s="13" t="n">
        <v>1393</v>
      </c>
      <c r="N43" s="13" t="n">
        <v>1652</v>
      </c>
      <c r="O43" s="13" t="n">
        <v>1822</v>
      </c>
      <c r="P43" s="8" t="inlineStr">
        <is>
          <t>No</t>
        </is>
      </c>
      <c r="Q43" s="19" t="n">
        <v>1822</v>
      </c>
      <c r="R43" s="19" t="n">
        <v>1822</v>
      </c>
      <c r="S43" s="20" t="inlineStr">
        <is>
          <t>HIGH</t>
        </is>
      </c>
      <c r="T43" s="6" t="inlineStr">
        <is>
          <t>+4.1%</t>
        </is>
      </c>
    </row>
    <row r="44">
      <c r="A44" s="8" t="inlineStr">
        <is>
          <t>PSO DEO 8000</t>
        </is>
      </c>
      <c r="B44" s="8" t="inlineStr">
        <is>
          <t>HDEO</t>
        </is>
      </c>
      <c r="C44" s="8" t="inlineStr">
        <is>
          <t>10W-40</t>
        </is>
      </c>
      <c r="D44" s="12" t="n">
        <v>4</v>
      </c>
      <c r="E44" s="8" t="inlineStr">
        <is>
          <t>Super Premium</t>
        </is>
      </c>
      <c r="F44" s="13" t="n">
        <v>922</v>
      </c>
      <c r="G44" s="13" t="n">
        <v>1025</v>
      </c>
      <c r="H44" s="13" t="n">
        <v>2150</v>
      </c>
      <c r="I44" s="13" t="n">
        <v>1042</v>
      </c>
      <c r="J44" s="13" t="n">
        <v>994</v>
      </c>
      <c r="K44" s="13" t="n">
        <v>1025</v>
      </c>
      <c r="L44" s="13" t="n">
        <v>1352</v>
      </c>
      <c r="M44" s="13" t="n">
        <v>1357</v>
      </c>
      <c r="N44" s="13" t="n">
        <v>1708</v>
      </c>
      <c r="O44" s="13" t="n">
        <v>1087</v>
      </c>
      <c r="P44" s="21" t="inlineStr">
        <is>
          <t>YES -- raised to F4</t>
        </is>
      </c>
      <c r="Q44" s="19" t="n">
        <v>1352</v>
      </c>
      <c r="R44" s="19" t="n">
        <v>5408</v>
      </c>
      <c r="S44" s="20" t="inlineStr">
        <is>
          <t>HIGH</t>
        </is>
      </c>
      <c r="T44" s="15" t="inlineStr">
        <is>
          <t>+31.9%</t>
        </is>
      </c>
    </row>
    <row r="45">
      <c r="A45" s="8" t="inlineStr">
        <is>
          <t>PSO DEO 8000</t>
        </is>
      </c>
      <c r="B45" s="8" t="inlineStr">
        <is>
          <t>HDEO</t>
        </is>
      </c>
      <c r="C45" s="8" t="inlineStr">
        <is>
          <t>15W-40</t>
        </is>
      </c>
      <c r="D45" s="12" t="n">
        <v>4</v>
      </c>
      <c r="E45" s="8" t="inlineStr">
        <is>
          <t>Super Premium</t>
        </is>
      </c>
      <c r="F45" s="13" t="n">
        <v>1088</v>
      </c>
      <c r="G45" s="13" t="n">
        <v>1750</v>
      </c>
      <c r="H45" s="13" t="n">
        <v>2262</v>
      </c>
      <c r="I45" s="13" t="n"/>
      <c r="J45" s="13" t="n">
        <v>1698</v>
      </c>
      <c r="K45" s="13" t="n">
        <v>1750</v>
      </c>
      <c r="L45" s="13" t="n">
        <v>1307</v>
      </c>
      <c r="M45" s="13" t="n">
        <v>1393</v>
      </c>
      <c r="N45" s="13" t="n">
        <v>1652</v>
      </c>
      <c r="O45" s="13" t="n">
        <v>1613</v>
      </c>
      <c r="P45" s="8" t="inlineStr">
        <is>
          <t>No</t>
        </is>
      </c>
      <c r="Q45" s="19" t="n">
        <v>1613</v>
      </c>
      <c r="R45" s="19" t="n">
        <v>6452</v>
      </c>
      <c r="S45" s="20" t="inlineStr">
        <is>
          <t>HIGH</t>
        </is>
      </c>
      <c r="T45" s="6" t="inlineStr">
        <is>
          <t>-7.8%</t>
        </is>
      </c>
    </row>
    <row r="46">
      <c r="A46" s="8" t="inlineStr">
        <is>
          <t>PSO DEO Max</t>
        </is>
      </c>
      <c r="B46" s="8" t="inlineStr">
        <is>
          <t>HDEO</t>
        </is>
      </c>
      <c r="C46" s="8" t="inlineStr">
        <is>
          <t>10W-40</t>
        </is>
      </c>
      <c r="D46" s="12" t="n">
        <v>4</v>
      </c>
      <c r="E46" s="8" t="inlineStr">
        <is>
          <t>Super Premium</t>
        </is>
      </c>
      <c r="F46" s="13" t="n">
        <v>922</v>
      </c>
      <c r="G46" s="13" t="n">
        <v>1025</v>
      </c>
      <c r="H46" s="13" t="n">
        <v>2150</v>
      </c>
      <c r="I46" s="13" t="n">
        <v>1042</v>
      </c>
      <c r="J46" s="13" t="n">
        <v>994</v>
      </c>
      <c r="K46" s="13" t="n">
        <v>1025</v>
      </c>
      <c r="L46" s="13" t="n">
        <v>1352</v>
      </c>
      <c r="M46" s="13" t="n">
        <v>1357</v>
      </c>
      <c r="N46" s="13" t="n">
        <v>1708</v>
      </c>
      <c r="O46" s="13" t="n">
        <v>1087</v>
      </c>
      <c r="P46" s="21" t="inlineStr">
        <is>
          <t>YES -- raised to F4</t>
        </is>
      </c>
      <c r="Q46" s="19" t="n">
        <v>1352</v>
      </c>
      <c r="R46" s="19" t="n">
        <v>5408</v>
      </c>
      <c r="S46" s="20" t="inlineStr">
        <is>
          <t>HIGH</t>
        </is>
      </c>
      <c r="T46" s="15" t="inlineStr">
        <is>
          <t>+31.9%</t>
        </is>
      </c>
    </row>
    <row r="47">
      <c r="A47" s="8" t="inlineStr">
        <is>
          <t>PSO DEO Max</t>
        </is>
      </c>
      <c r="B47" s="8" t="inlineStr">
        <is>
          <t>HDEO</t>
        </is>
      </c>
      <c r="C47" s="8" t="inlineStr">
        <is>
          <t>15W-40</t>
        </is>
      </c>
      <c r="D47" s="12" t="n">
        <v>4</v>
      </c>
      <c r="E47" s="8" t="inlineStr">
        <is>
          <t>Super Premium</t>
        </is>
      </c>
      <c r="F47" s="13" t="n">
        <v>1088</v>
      </c>
      <c r="G47" s="13" t="n">
        <v>1750</v>
      </c>
      <c r="H47" s="13" t="n">
        <v>2262</v>
      </c>
      <c r="I47" s="13" t="n"/>
      <c r="J47" s="13" t="n">
        <v>1698</v>
      </c>
      <c r="K47" s="13" t="n">
        <v>1750</v>
      </c>
      <c r="L47" s="13" t="n">
        <v>1307</v>
      </c>
      <c r="M47" s="13" t="n">
        <v>1393</v>
      </c>
      <c r="N47" s="13" t="n">
        <v>1652</v>
      </c>
      <c r="O47" s="13" t="n">
        <v>1613</v>
      </c>
      <c r="P47" s="8" t="inlineStr">
        <is>
          <t>No</t>
        </is>
      </c>
      <c r="Q47" s="19" t="n">
        <v>1613</v>
      </c>
      <c r="R47" s="19" t="n">
        <v>6452</v>
      </c>
      <c r="S47" s="20" t="inlineStr">
        <is>
          <t>HIGH</t>
        </is>
      </c>
      <c r="T47" s="6" t="inlineStr">
        <is>
          <t>-7.8%</t>
        </is>
      </c>
    </row>
    <row r="48">
      <c r="A48" s="8" t="inlineStr">
        <is>
          <t>PSO Dieselube</t>
        </is>
      </c>
      <c r="B48" s="8" t="inlineStr">
        <is>
          <t>HDEO</t>
        </is>
      </c>
      <c r="C48" s="8" t="inlineStr">
        <is>
          <t>15W-40</t>
        </is>
      </c>
      <c r="D48" s="12" t="n">
        <v>4</v>
      </c>
      <c r="E48" s="8" t="inlineStr">
        <is>
          <t>Economy</t>
        </is>
      </c>
      <c r="F48" s="13" t="n">
        <v>1088</v>
      </c>
      <c r="G48" s="13" t="n">
        <v>1750</v>
      </c>
      <c r="H48" s="13" t="n">
        <v>2262</v>
      </c>
      <c r="I48" s="13" t="n">
        <v>1066</v>
      </c>
      <c r="J48" s="13" t="n">
        <v>1698</v>
      </c>
      <c r="K48" s="13" t="n">
        <v>1750</v>
      </c>
      <c r="L48" s="13" t="n">
        <v>921</v>
      </c>
      <c r="M48" s="13" t="n">
        <v>1088</v>
      </c>
      <c r="N48" s="13" t="n">
        <v>1652</v>
      </c>
      <c r="O48" s="13" t="n">
        <v>1380</v>
      </c>
      <c r="P48" s="8" t="inlineStr">
        <is>
          <t>No</t>
        </is>
      </c>
      <c r="Q48" s="19" t="n">
        <v>1380</v>
      </c>
      <c r="R48" s="19" t="n">
        <v>5520</v>
      </c>
      <c r="S48" s="20" t="inlineStr">
        <is>
          <t>HIGH</t>
        </is>
      </c>
      <c r="T48" s="21" t="inlineStr">
        <is>
          <t>-21.1%</t>
        </is>
      </c>
    </row>
    <row r="49">
      <c r="A49" s="8" t="inlineStr">
        <is>
          <t>PSO Dieselube</t>
        </is>
      </c>
      <c r="B49" s="8" t="inlineStr">
        <is>
          <t>HDEO</t>
        </is>
      </c>
      <c r="C49" s="8" t="inlineStr">
        <is>
          <t>20W-50</t>
        </is>
      </c>
      <c r="D49" s="12" t="n">
        <v>4</v>
      </c>
      <c r="E49" s="8" t="inlineStr">
        <is>
          <t>Economy</t>
        </is>
      </c>
      <c r="F49" s="13" t="n">
        <v>796</v>
      </c>
      <c r="G49" s="13" t="n">
        <v>1025</v>
      </c>
      <c r="H49" s="13" t="n">
        <v>2375</v>
      </c>
      <c r="I49" s="13" t="n">
        <v>931</v>
      </c>
      <c r="J49" s="13" t="n">
        <v>994</v>
      </c>
      <c r="K49" s="13" t="n">
        <v>1025</v>
      </c>
      <c r="L49" s="13" t="n">
        <v>649</v>
      </c>
      <c r="M49" s="13" t="n">
        <v>1239</v>
      </c>
      <c r="N49" s="13" t="n">
        <v>1176</v>
      </c>
      <c r="O49" s="13" t="n">
        <v>971</v>
      </c>
      <c r="P49" s="8" t="inlineStr">
        <is>
          <t>No</t>
        </is>
      </c>
      <c r="Q49" s="19" t="n">
        <v>971</v>
      </c>
      <c r="R49" s="19" t="n">
        <v>3884</v>
      </c>
      <c r="S49" s="20" t="inlineStr">
        <is>
          <t>HIGH</t>
        </is>
      </c>
      <c r="T49" s="6" t="inlineStr">
        <is>
          <t>-5.3%</t>
        </is>
      </c>
    </row>
    <row r="50" ht="8" customHeight="1"/>
    <row r="51" ht="30" customHeight="1">
      <c r="A51" s="2" t="inlineStr">
        <is>
          <t>SYNTHESIS: Weighted average where available. F1+F2+F3 = 80% of weight. F4 is both a 10%-weight input AND a hard floor -- if weighted avg &lt; F4, rec is raised to F4. F6 (geographic) and F8 (channel) apply AFTER synthesis as overlays.</t>
        </is>
      </c>
    </row>
    <row r="52" ht="25" customHeight="1">
      <c r="A52" s="22" t="inlineStr">
        <is>
          <t>MARKET SIGNAL: PREMIUM = PSO &gt;10% above market median. AT MARKET = within +-10%. VALUE POSITION = PSO &gt;10% below median (revenue upside).</t>
        </is>
      </c>
    </row>
  </sheetData>
  <mergeCells count="4">
    <mergeCell ref="A1:T1"/>
    <mergeCell ref="A2:T2"/>
    <mergeCell ref="A51:T51"/>
    <mergeCell ref="A52:T5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3"/>
  <sheetViews>
    <sheetView workbookViewId="0">
      <pane ySplit="5" topLeftCell="A6" activePane="bottomLeft" state="frozen"/>
      <selection pane="bottomLeft" activeCell="A1" sqref="A1"/>
    </sheetView>
  </sheetViews>
  <sheetFormatPr baseColWidth="8" defaultRowHeight="15"/>
  <cols>
    <col width="28" customWidth="1" min="1" max="1"/>
    <col width="9" customWidth="1" min="2" max="2"/>
    <col width="8" customWidth="1" min="3" max="3"/>
    <col width="8" customWidth="1" min="4" max="4"/>
    <col width="15" customWidth="1" min="5" max="5"/>
    <col width="20" customWidth="1" min="6" max="6"/>
    <col width="15" customWidth="1" min="7" max="7"/>
    <col width="18" customWidth="1" min="8" max="8"/>
  </cols>
  <sheetData>
    <row r="1" ht="28" customHeight="1">
      <c r="A1" s="10" t="inlineStr">
        <is>
          <t>F1 -- VALUE-BASED TIERING  (Weight: 30%)</t>
        </is>
      </c>
    </row>
    <row r="2" ht="50" customHeight="1">
      <c r="A2" s="2" t="inlineStr">
        <is>
          <t>PSO Carient is benchmarked against the Shell tier equivalent (Super Premium = Helix Ultra, Premium = HX7/ZIC X9, Mainstream = ZIC X7/Total 9000, Economy = Kixx). A brand-perception discount is applied because PSO brand equity is currently below Shell. FORMULA: F1 Price = Shell_Tier_Median x (1 - Brand_Discount%)</t>
        </is>
      </c>
    </row>
    <row r="3" ht="8" customHeight="1"/>
    <row r="4" ht="18" customHeight="1">
      <c r="A4" s="3" t="inlineStr">
        <is>
          <t>PARAMETER TABLE 1 -- Shell Tier Benchmark Prices (Daraz.pk medians, PKR/L)</t>
        </is>
      </c>
    </row>
    <row r="5" ht="17" customHeight="1">
      <c r="A5" s="4" t="inlineStr">
        <is>
          <t>Tier</t>
        </is>
      </c>
      <c r="B5" s="4" t="inlineStr">
        <is>
          <t>Shell Benchmark Brands</t>
        </is>
      </c>
      <c r="C5" s="4" t="inlineStr">
        <is>
          <t>0W-20</t>
        </is>
      </c>
      <c r="D5" s="4" t="inlineStr">
        <is>
          <t>5W-20</t>
        </is>
      </c>
      <c r="E5" s="4" t="inlineStr">
        <is>
          <t>5W-30</t>
        </is>
      </c>
      <c r="F5" s="4" t="inlineStr">
        <is>
          <t>5W-40</t>
        </is>
      </c>
      <c r="G5" s="4" t="inlineStr">
        <is>
          <t>10W-40</t>
        </is>
      </c>
      <c r="H5" s="4" t="inlineStr">
        <is>
          <t>15W-40</t>
        </is>
      </c>
      <c r="I5" s="4" t="inlineStr">
        <is>
          <t>20W-50</t>
        </is>
      </c>
    </row>
    <row r="6">
      <c r="A6" s="7" t="inlineStr">
        <is>
          <t>Super Premium</t>
        </is>
      </c>
      <c r="B6" s="8" t="inlineStr">
        <is>
          <t>Shell Helix Ultra, Shell</t>
        </is>
      </c>
      <c r="C6" s="13" t="n"/>
      <c r="D6" s="13" t="n"/>
      <c r="E6" s="13" t="n"/>
      <c r="F6" s="13" t="n">
        <v>2750</v>
      </c>
      <c r="G6" s="13" t="n">
        <v>1133</v>
      </c>
      <c r="H6" s="13" t="n"/>
      <c r="I6" s="13" t="n">
        <v>1139</v>
      </c>
    </row>
    <row r="7">
      <c r="A7" s="7" t="inlineStr">
        <is>
          <t>Premium</t>
        </is>
      </c>
      <c r="B7" s="8" t="inlineStr">
        <is>
          <t>Shell Helix HX7, ZIC X9</t>
        </is>
      </c>
      <c r="C7" s="13" t="n"/>
      <c r="D7" s="13" t="n"/>
      <c r="E7" s="13" t="n">
        <v>930</v>
      </c>
      <c r="F7" s="13" t="n">
        <v>3650</v>
      </c>
      <c r="G7" s="13" t="n"/>
      <c r="H7" s="13" t="n"/>
      <c r="I7" s="13" t="n"/>
    </row>
    <row r="8">
      <c r="A8" s="7" t="inlineStr">
        <is>
          <t>Mainstream</t>
        </is>
      </c>
      <c r="B8" s="8" t="inlineStr">
        <is>
          <t>ZIC X7, Total Quartz 9000</t>
        </is>
      </c>
      <c r="C8" s="13" t="n">
        <v>3375</v>
      </c>
      <c r="D8" s="13" t="n">
        <v>1900</v>
      </c>
      <c r="E8" s="13" t="n">
        <v>876</v>
      </c>
      <c r="F8" s="13" t="n"/>
      <c r="G8" s="13" t="n">
        <v>1083</v>
      </c>
      <c r="H8" s="13" t="n"/>
      <c r="I8" s="13" t="n"/>
    </row>
    <row r="9">
      <c r="A9" s="7" t="inlineStr">
        <is>
          <t>Economy</t>
        </is>
      </c>
      <c r="B9" s="8" t="inlineStr">
        <is>
          <t>Kixx, Kixx G1</t>
        </is>
      </c>
      <c r="C9" s="13" t="n">
        <v>4012</v>
      </c>
      <c r="D9" s="13" t="n"/>
      <c r="E9" s="13" t="n">
        <v>1125</v>
      </c>
      <c r="F9" s="13" t="n">
        <v>3000</v>
      </c>
      <c r="G9" s="13" t="n">
        <v>1060</v>
      </c>
      <c r="H9" s="13" t="n">
        <v>1088</v>
      </c>
      <c r="I9" s="13" t="n">
        <v>1239</v>
      </c>
    </row>
    <row r="10" ht="8" customHeight="1"/>
    <row r="11" ht="18" customHeight="1">
      <c r="A11" s="3" t="inlineStr">
        <is>
          <t>PARAMETER TABLE 2 -- PSO Brand Perception Discount vs Shell</t>
        </is>
      </c>
    </row>
    <row r="12" ht="17" customHeight="1">
      <c r="A12" s="4" t="inlineStr">
        <is>
          <t>Tier</t>
        </is>
      </c>
      <c r="B12" s="4" t="inlineStr">
        <is>
          <t>Discount %</t>
        </is>
      </c>
      <c r="C12" s="4" t="inlineStr">
        <is>
          <t>Rationale</t>
        </is>
      </c>
    </row>
    <row r="13">
      <c r="A13" s="7" t="inlineStr">
        <is>
          <t>Super Premium</t>
        </is>
      </c>
      <c r="B13" s="23" t="n">
        <v>0.08</v>
      </c>
      <c r="C13" s="8" t="inlineStr">
        <is>
          <t>Significant gap -- fully synthetic brand communication is nascent in Pakistan</t>
        </is>
      </c>
    </row>
    <row r="14">
      <c r="A14" s="7" t="inlineStr">
        <is>
          <t>Premium</t>
        </is>
      </c>
      <c r="B14" s="23" t="n">
        <v>0.06</v>
      </c>
      <c r="C14" s="8" t="inlineStr">
        <is>
          <t>Moderate gap -- HX7-class perception; closing as fleet specs improve</t>
        </is>
      </c>
    </row>
    <row r="15">
      <c r="A15" s="7" t="inlineStr">
        <is>
          <t>Mainstream</t>
        </is>
      </c>
      <c r="B15" s="23" t="n">
        <v>0.04</v>
      </c>
      <c r="C15" s="8" t="inlineStr">
        <is>
          <t>Small gap -- mineral lubricants mostly price-competitive</t>
        </is>
      </c>
    </row>
    <row r="16">
      <c r="A16" s="7" t="inlineStr">
        <is>
          <t>Economy</t>
        </is>
      </c>
      <c r="B16" s="23" t="n">
        <v>0.02</v>
      </c>
      <c r="C16" s="8" t="inlineStr">
        <is>
          <t>Minimal gap -- budget buyers are price-led, brand matters less</t>
        </is>
      </c>
    </row>
    <row r="17" ht="8" customHeight="1"/>
    <row r="18" ht="18" customHeight="1">
      <c r="A18" s="3" t="inlineStr">
        <is>
          <t>CALCULATION TABLE -- F1 Price per PSO SKU</t>
        </is>
      </c>
    </row>
    <row r="19" ht="17" customHeight="1">
      <c r="A19" s="4" t="inlineStr">
        <is>
          <t>Brand</t>
        </is>
      </c>
      <c r="B19" s="4" t="inlineStr">
        <is>
          <t>Oil Type</t>
        </is>
      </c>
      <c r="C19" s="4" t="inlineStr">
        <is>
          <t>Grade</t>
        </is>
      </c>
      <c r="D19" s="4" t="inlineStr">
        <is>
          <t>Pack (L)</t>
        </is>
      </c>
      <c r="E19" s="4" t="inlineStr">
        <is>
          <t>Tier</t>
        </is>
      </c>
      <c r="F19" s="4" t="inlineStr">
        <is>
          <t>Shell Benchmark (PKR/L)</t>
        </is>
      </c>
      <c r="G19" s="4" t="inlineStr">
        <is>
          <t>Brand Discount</t>
        </is>
      </c>
      <c r="H19" s="4" t="inlineStr">
        <is>
          <t>F1 Price (PKR/L)</t>
        </is>
      </c>
    </row>
    <row r="20">
      <c r="A20" s="8" t="inlineStr">
        <is>
          <t>PSO Carient SPRO</t>
        </is>
      </c>
      <c r="B20" s="8" t="inlineStr">
        <is>
          <t>PCMO</t>
        </is>
      </c>
      <c r="C20" s="8" t="inlineStr">
        <is>
          <t>15W-40</t>
        </is>
      </c>
      <c r="D20" s="12" t="n">
        <v>3</v>
      </c>
      <c r="E20" s="8" t="inlineStr">
        <is>
          <t>Economy</t>
        </is>
      </c>
      <c r="F20" s="13" t="n">
        <v>1088</v>
      </c>
      <c r="G20" s="23" t="n">
        <v>0.02</v>
      </c>
      <c r="H20" s="24">
        <f>$F$20*(1-$G$20)</f>
        <v/>
      </c>
    </row>
    <row r="21">
      <c r="A21" s="8" t="inlineStr">
        <is>
          <t>PSO Carient SPRO</t>
        </is>
      </c>
      <c r="B21" s="8" t="inlineStr">
        <is>
          <t>PCMO</t>
        </is>
      </c>
      <c r="C21" s="8" t="inlineStr">
        <is>
          <t>20W-50</t>
        </is>
      </c>
      <c r="D21" s="12" t="n">
        <v>3</v>
      </c>
      <c r="E21" s="8" t="inlineStr">
        <is>
          <t>Economy</t>
        </is>
      </c>
      <c r="F21" s="13" t="n">
        <v>1067</v>
      </c>
      <c r="G21" s="23" t="n">
        <v>0.02</v>
      </c>
      <c r="H21" s="24">
        <f>$F$21*(1-$G$21)</f>
        <v/>
      </c>
    </row>
    <row r="22">
      <c r="A22" s="8" t="inlineStr">
        <is>
          <t>PSO Carient SPRO</t>
        </is>
      </c>
      <c r="B22" s="8" t="inlineStr">
        <is>
          <t>PCMO</t>
        </is>
      </c>
      <c r="C22" s="8" t="inlineStr">
        <is>
          <t>15W-40</t>
        </is>
      </c>
      <c r="D22" s="12" t="n">
        <v>4</v>
      </c>
      <c r="E22" s="8" t="inlineStr">
        <is>
          <t>Economy</t>
        </is>
      </c>
      <c r="F22" s="13" t="n">
        <v>1088</v>
      </c>
      <c r="G22" s="23" t="n">
        <v>0.02</v>
      </c>
      <c r="H22" s="24">
        <f>$F$22*(1-$G$22)</f>
        <v/>
      </c>
    </row>
    <row r="23">
      <c r="A23" s="8" t="inlineStr">
        <is>
          <t>PSO Carient SPRO</t>
        </is>
      </c>
      <c r="B23" s="8" t="inlineStr">
        <is>
          <t>PCMO</t>
        </is>
      </c>
      <c r="C23" s="8" t="inlineStr">
        <is>
          <t>20W-50</t>
        </is>
      </c>
      <c r="D23" s="12" t="n">
        <v>4</v>
      </c>
      <c r="E23" s="8" t="inlineStr">
        <is>
          <t>Economy</t>
        </is>
      </c>
      <c r="F23" s="13" t="n">
        <v>950</v>
      </c>
      <c r="G23" s="23" t="n">
        <v>0.02</v>
      </c>
      <c r="H23" s="24">
        <f>$F$23*(1-$G$23)</f>
        <v/>
      </c>
    </row>
    <row r="24">
      <c r="A24" s="8" t="inlineStr">
        <is>
          <t>PSO Carient FS</t>
        </is>
      </c>
      <c r="B24" s="8" t="inlineStr">
        <is>
          <t>PCMO</t>
        </is>
      </c>
      <c r="C24" s="8" t="inlineStr">
        <is>
          <t>5W-30</t>
        </is>
      </c>
      <c r="D24" s="12" t="n">
        <v>4</v>
      </c>
      <c r="E24" s="8" t="inlineStr">
        <is>
          <t>Premium</t>
        </is>
      </c>
      <c r="F24" s="13" t="n">
        <v>930</v>
      </c>
      <c r="G24" s="23" t="n">
        <v>0.06</v>
      </c>
      <c r="H24" s="24">
        <f>$F$24*(1-$G$24)</f>
        <v/>
      </c>
    </row>
    <row r="25">
      <c r="A25" s="8" t="inlineStr">
        <is>
          <t>PSO Carient FS</t>
        </is>
      </c>
      <c r="B25" s="8" t="inlineStr">
        <is>
          <t>PCMO</t>
        </is>
      </c>
      <c r="C25" s="8" t="inlineStr">
        <is>
          <t>5W-40</t>
        </is>
      </c>
      <c r="D25" s="12" t="n">
        <v>4</v>
      </c>
      <c r="E25" s="8" t="inlineStr">
        <is>
          <t>Premium</t>
        </is>
      </c>
      <c r="F25" s="13" t="n">
        <v>3650</v>
      </c>
      <c r="G25" s="23" t="n">
        <v>0.06</v>
      </c>
      <c r="H25" s="24">
        <f>$F$25*(1-$G$25)</f>
        <v/>
      </c>
    </row>
    <row r="26">
      <c r="A26" s="8" t="inlineStr">
        <is>
          <t>PSO Carient FS</t>
        </is>
      </c>
      <c r="B26" s="8" t="inlineStr">
        <is>
          <t>PCMO</t>
        </is>
      </c>
      <c r="C26" s="8" t="inlineStr">
        <is>
          <t>10W-40</t>
        </is>
      </c>
      <c r="D26" s="12" t="n">
        <v>4</v>
      </c>
      <c r="E26" s="8" t="inlineStr">
        <is>
          <t>Premium</t>
        </is>
      </c>
      <c r="F26" s="13" t="n"/>
      <c r="G26" s="23" t="n">
        <v>0.06</v>
      </c>
      <c r="H26" s="11" t="inlineStr">
        <is>
          <t>N/A</t>
        </is>
      </c>
    </row>
    <row r="27">
      <c r="A27" s="8" t="inlineStr">
        <is>
          <t>PSO Carient Ultra</t>
        </is>
      </c>
      <c r="B27" s="8" t="inlineStr">
        <is>
          <t>PCMO</t>
        </is>
      </c>
      <c r="C27" s="8" t="inlineStr">
        <is>
          <t>0W-20</t>
        </is>
      </c>
      <c r="D27" s="12" t="n">
        <v>1</v>
      </c>
      <c r="E27" s="8" t="inlineStr">
        <is>
          <t>Super Premium</t>
        </is>
      </c>
      <c r="F27" s="13" t="n"/>
      <c r="G27" s="23" t="n">
        <v>0.08</v>
      </c>
      <c r="H27" s="11" t="inlineStr">
        <is>
          <t>N/A</t>
        </is>
      </c>
    </row>
    <row r="28">
      <c r="A28" s="8" t="inlineStr">
        <is>
          <t>PSO Carient Ultra</t>
        </is>
      </c>
      <c r="B28" s="8" t="inlineStr">
        <is>
          <t>PCMO</t>
        </is>
      </c>
      <c r="C28" s="8" t="inlineStr">
        <is>
          <t>5W-20</t>
        </is>
      </c>
      <c r="D28" s="12" t="n">
        <v>1</v>
      </c>
      <c r="E28" s="8" t="inlineStr">
        <is>
          <t>Super Premium</t>
        </is>
      </c>
      <c r="F28" s="13" t="n"/>
      <c r="G28" s="23" t="n">
        <v>0.08</v>
      </c>
      <c r="H28" s="11" t="inlineStr">
        <is>
          <t>N/A</t>
        </is>
      </c>
    </row>
    <row r="29">
      <c r="A29" s="8" t="inlineStr">
        <is>
          <t>PSO Carient Ultra</t>
        </is>
      </c>
      <c r="B29" s="8" t="inlineStr">
        <is>
          <t>PCMO</t>
        </is>
      </c>
      <c r="C29" s="8" t="inlineStr">
        <is>
          <t>5W-30</t>
        </is>
      </c>
      <c r="D29" s="12" t="n">
        <v>1</v>
      </c>
      <c r="E29" s="8" t="inlineStr">
        <is>
          <t>Super Premium</t>
        </is>
      </c>
      <c r="F29" s="13" t="n"/>
      <c r="G29" s="23" t="n">
        <v>0.08</v>
      </c>
      <c r="H29" s="11" t="inlineStr">
        <is>
          <t>N/A</t>
        </is>
      </c>
    </row>
    <row r="30">
      <c r="A30" s="8" t="inlineStr">
        <is>
          <t>PSO Carient Ultra</t>
        </is>
      </c>
      <c r="B30" s="8" t="inlineStr">
        <is>
          <t>PCMO</t>
        </is>
      </c>
      <c r="C30" s="8" t="inlineStr">
        <is>
          <t>5W-40</t>
        </is>
      </c>
      <c r="D30" s="12" t="n">
        <v>1</v>
      </c>
      <c r="E30" s="8" t="inlineStr">
        <is>
          <t>Super Premium</t>
        </is>
      </c>
      <c r="F30" s="13" t="n">
        <v>2750</v>
      </c>
      <c r="G30" s="23" t="n">
        <v>0.08</v>
      </c>
      <c r="H30" s="24">
        <f>$F$30*(1-$G$30)</f>
        <v/>
      </c>
    </row>
    <row r="31">
      <c r="A31" s="8" t="inlineStr">
        <is>
          <t>PSO Carient Ultra</t>
        </is>
      </c>
      <c r="B31" s="8" t="inlineStr">
        <is>
          <t>PCMO</t>
        </is>
      </c>
      <c r="C31" s="8" t="inlineStr">
        <is>
          <t>0W-20</t>
        </is>
      </c>
      <c r="D31" s="12" t="n">
        <v>3</v>
      </c>
      <c r="E31" s="8" t="inlineStr">
        <is>
          <t>Super Premium</t>
        </is>
      </c>
      <c r="F31" s="13" t="n"/>
      <c r="G31" s="23" t="n">
        <v>0.08</v>
      </c>
      <c r="H31" s="11" t="inlineStr">
        <is>
          <t>N/A</t>
        </is>
      </c>
    </row>
    <row r="32">
      <c r="A32" s="8" t="inlineStr">
        <is>
          <t>PSO Carient Ultra</t>
        </is>
      </c>
      <c r="B32" s="8" t="inlineStr">
        <is>
          <t>PCMO</t>
        </is>
      </c>
      <c r="C32" s="8" t="inlineStr">
        <is>
          <t>5W-20</t>
        </is>
      </c>
      <c r="D32" s="12" t="n">
        <v>3</v>
      </c>
      <c r="E32" s="8" t="inlineStr">
        <is>
          <t>Super Premium</t>
        </is>
      </c>
      <c r="F32" s="13" t="n"/>
      <c r="G32" s="23" t="n">
        <v>0.08</v>
      </c>
      <c r="H32" s="11" t="inlineStr">
        <is>
          <t>N/A</t>
        </is>
      </c>
    </row>
    <row r="33">
      <c r="A33" s="8" t="inlineStr">
        <is>
          <t>PSO Carient Ultra</t>
        </is>
      </c>
      <c r="B33" s="8" t="inlineStr">
        <is>
          <t>PCMO</t>
        </is>
      </c>
      <c r="C33" s="8" t="inlineStr">
        <is>
          <t>5W-30</t>
        </is>
      </c>
      <c r="D33" s="12" t="n">
        <v>3</v>
      </c>
      <c r="E33" s="8" t="inlineStr">
        <is>
          <t>Super Premium</t>
        </is>
      </c>
      <c r="F33" s="13" t="n"/>
      <c r="G33" s="23" t="n">
        <v>0.08</v>
      </c>
      <c r="H33" s="11" t="inlineStr">
        <is>
          <t>N/A</t>
        </is>
      </c>
    </row>
    <row r="34">
      <c r="A34" s="8" t="inlineStr">
        <is>
          <t>PSO Carient Ultra</t>
        </is>
      </c>
      <c r="B34" s="8" t="inlineStr">
        <is>
          <t>PCMO</t>
        </is>
      </c>
      <c r="C34" s="8" t="inlineStr">
        <is>
          <t>5W-40</t>
        </is>
      </c>
      <c r="D34" s="12" t="n">
        <v>3</v>
      </c>
      <c r="E34" s="8" t="inlineStr">
        <is>
          <t>Super Premium</t>
        </is>
      </c>
      <c r="F34" s="13" t="n">
        <v>2750</v>
      </c>
      <c r="G34" s="23" t="n">
        <v>0.08</v>
      </c>
      <c r="H34" s="24">
        <f>$F$34*(1-$G$34)</f>
        <v/>
      </c>
    </row>
    <row r="35">
      <c r="A35" s="8" t="inlineStr">
        <is>
          <t>PSO Carient Ultra</t>
        </is>
      </c>
      <c r="B35" s="8" t="inlineStr">
        <is>
          <t>PCMO</t>
        </is>
      </c>
      <c r="C35" s="8" t="inlineStr">
        <is>
          <t>0W-20</t>
        </is>
      </c>
      <c r="D35" s="12" t="n">
        <v>4</v>
      </c>
      <c r="E35" s="8" t="inlineStr">
        <is>
          <t>Super Premium</t>
        </is>
      </c>
      <c r="F35" s="13" t="n"/>
      <c r="G35" s="23" t="n">
        <v>0.08</v>
      </c>
      <c r="H35" s="11" t="inlineStr">
        <is>
          <t>N/A</t>
        </is>
      </c>
    </row>
    <row r="36">
      <c r="A36" s="8" t="inlineStr">
        <is>
          <t>PSO Carient Ultra</t>
        </is>
      </c>
      <c r="B36" s="8" t="inlineStr">
        <is>
          <t>PCMO</t>
        </is>
      </c>
      <c r="C36" s="8" t="inlineStr">
        <is>
          <t>5W-20</t>
        </is>
      </c>
      <c r="D36" s="12" t="n">
        <v>4</v>
      </c>
      <c r="E36" s="8" t="inlineStr">
        <is>
          <t>Super Premium</t>
        </is>
      </c>
      <c r="F36" s="13" t="n"/>
      <c r="G36" s="23" t="n">
        <v>0.08</v>
      </c>
      <c r="H36" s="11" t="inlineStr">
        <is>
          <t>N/A</t>
        </is>
      </c>
    </row>
    <row r="37">
      <c r="A37" s="8" t="inlineStr">
        <is>
          <t>PSO Carient Ultra</t>
        </is>
      </c>
      <c r="B37" s="8" t="inlineStr">
        <is>
          <t>PCMO</t>
        </is>
      </c>
      <c r="C37" s="8" t="inlineStr">
        <is>
          <t>5W-30</t>
        </is>
      </c>
      <c r="D37" s="12" t="n">
        <v>4</v>
      </c>
      <c r="E37" s="8" t="inlineStr">
        <is>
          <t>Super Premium</t>
        </is>
      </c>
      <c r="F37" s="13" t="n"/>
      <c r="G37" s="23" t="n">
        <v>0.08</v>
      </c>
      <c r="H37" s="11" t="inlineStr">
        <is>
          <t>N/A</t>
        </is>
      </c>
    </row>
    <row r="38">
      <c r="A38" s="8" t="inlineStr">
        <is>
          <t>PSO Carient Ultra</t>
        </is>
      </c>
      <c r="B38" s="8" t="inlineStr">
        <is>
          <t>PCMO</t>
        </is>
      </c>
      <c r="C38" s="8" t="inlineStr">
        <is>
          <t>5W-40</t>
        </is>
      </c>
      <c r="D38" s="12" t="n">
        <v>4</v>
      </c>
      <c r="E38" s="8" t="inlineStr">
        <is>
          <t>Super Premium</t>
        </is>
      </c>
      <c r="F38" s="13" t="n">
        <v>2750</v>
      </c>
      <c r="G38" s="23" t="n">
        <v>0.08</v>
      </c>
      <c r="H38" s="24">
        <f>$F$38*(1-$G$38)</f>
        <v/>
      </c>
    </row>
    <row r="39">
      <c r="A39" s="8" t="inlineStr">
        <is>
          <t>PSO Carient Plus</t>
        </is>
      </c>
      <c r="B39" s="8" t="inlineStr">
        <is>
          <t>PCMO</t>
        </is>
      </c>
      <c r="C39" s="8" t="inlineStr">
        <is>
          <t>10W-40</t>
        </is>
      </c>
      <c r="D39" s="12" t="n">
        <v>1</v>
      </c>
      <c r="E39" s="8" t="inlineStr">
        <is>
          <t>Mainstream</t>
        </is>
      </c>
      <c r="F39" s="13" t="n">
        <v>1083</v>
      </c>
      <c r="G39" s="23" t="n">
        <v>0.04</v>
      </c>
      <c r="H39" s="24">
        <f>$F$39*(1-$G$39)</f>
        <v/>
      </c>
    </row>
    <row r="40">
      <c r="A40" s="8" t="inlineStr">
        <is>
          <t>PSO Carient Plus</t>
        </is>
      </c>
      <c r="B40" s="8" t="inlineStr">
        <is>
          <t>PCMO</t>
        </is>
      </c>
      <c r="C40" s="8" t="inlineStr">
        <is>
          <t>15W-40</t>
        </is>
      </c>
      <c r="D40" s="12" t="n">
        <v>1</v>
      </c>
      <c r="E40" s="8" t="inlineStr">
        <is>
          <t>Mainstream</t>
        </is>
      </c>
      <c r="F40" s="13" t="n"/>
      <c r="G40" s="23" t="n">
        <v>0.04</v>
      </c>
      <c r="H40" s="11" t="inlineStr">
        <is>
          <t>N/A</t>
        </is>
      </c>
    </row>
    <row r="41">
      <c r="A41" s="8" t="inlineStr">
        <is>
          <t>PSO Carient Plus</t>
        </is>
      </c>
      <c r="B41" s="8" t="inlineStr">
        <is>
          <t>PCMO</t>
        </is>
      </c>
      <c r="C41" s="8" t="inlineStr">
        <is>
          <t>20W-50</t>
        </is>
      </c>
      <c r="D41" s="12" t="n">
        <v>1</v>
      </c>
      <c r="E41" s="8" t="inlineStr">
        <is>
          <t>Mainstream</t>
        </is>
      </c>
      <c r="F41" s="13" t="n"/>
      <c r="G41" s="23" t="n">
        <v>0.04</v>
      </c>
      <c r="H41" s="11" t="inlineStr">
        <is>
          <t>N/A</t>
        </is>
      </c>
    </row>
    <row r="42">
      <c r="A42" s="8" t="inlineStr">
        <is>
          <t>PSO Carient Plus</t>
        </is>
      </c>
      <c r="B42" s="8" t="inlineStr">
        <is>
          <t>PCMO</t>
        </is>
      </c>
      <c r="C42" s="8" t="inlineStr">
        <is>
          <t>10W-40</t>
        </is>
      </c>
      <c r="D42" s="12" t="n">
        <v>3</v>
      </c>
      <c r="E42" s="8" t="inlineStr">
        <is>
          <t>Mainstream</t>
        </is>
      </c>
      <c r="F42" s="13" t="n">
        <v>1583</v>
      </c>
      <c r="G42" s="23" t="n">
        <v>0.04</v>
      </c>
      <c r="H42" s="24">
        <f>$F$42*(1-$G$42)</f>
        <v/>
      </c>
    </row>
    <row r="43">
      <c r="A43" s="8" t="inlineStr">
        <is>
          <t>PSO Carient Plus</t>
        </is>
      </c>
      <c r="B43" s="8" t="inlineStr">
        <is>
          <t>PCMO</t>
        </is>
      </c>
      <c r="C43" s="8" t="inlineStr">
        <is>
          <t>15W-40</t>
        </is>
      </c>
      <c r="D43" s="12" t="n">
        <v>3</v>
      </c>
      <c r="E43" s="8" t="inlineStr">
        <is>
          <t>Mainstream</t>
        </is>
      </c>
      <c r="F43" s="13" t="n"/>
      <c r="G43" s="23" t="n">
        <v>0.04</v>
      </c>
      <c r="H43" s="11" t="inlineStr">
        <is>
          <t>N/A</t>
        </is>
      </c>
    </row>
    <row r="44">
      <c r="A44" s="8" t="inlineStr">
        <is>
          <t>PSO Carient Plus</t>
        </is>
      </c>
      <c r="B44" s="8" t="inlineStr">
        <is>
          <t>PCMO</t>
        </is>
      </c>
      <c r="C44" s="8" t="inlineStr">
        <is>
          <t>20W-50</t>
        </is>
      </c>
      <c r="D44" s="12" t="n">
        <v>3</v>
      </c>
      <c r="E44" s="8" t="inlineStr">
        <is>
          <t>Mainstream</t>
        </is>
      </c>
      <c r="F44" s="13" t="n"/>
      <c r="G44" s="23" t="n">
        <v>0.04</v>
      </c>
      <c r="H44" s="11" t="inlineStr">
        <is>
          <t>N/A</t>
        </is>
      </c>
    </row>
    <row r="45">
      <c r="A45" s="8" t="inlineStr">
        <is>
          <t>PSO Carient Plus</t>
        </is>
      </c>
      <c r="B45" s="8" t="inlineStr">
        <is>
          <t>PCMO</t>
        </is>
      </c>
      <c r="C45" s="8" t="inlineStr">
        <is>
          <t>10W-40</t>
        </is>
      </c>
      <c r="D45" s="12" t="n">
        <v>4</v>
      </c>
      <c r="E45" s="8" t="inlineStr">
        <is>
          <t>Mainstream</t>
        </is>
      </c>
      <c r="F45" s="13" t="n">
        <v>1025</v>
      </c>
      <c r="G45" s="23" t="n">
        <v>0.04</v>
      </c>
      <c r="H45" s="24">
        <f>$F$45*(1-$G$45)</f>
        <v/>
      </c>
    </row>
    <row r="46">
      <c r="A46" s="8" t="inlineStr">
        <is>
          <t>PSO Carient Plus</t>
        </is>
      </c>
      <c r="B46" s="8" t="inlineStr">
        <is>
          <t>PCMO</t>
        </is>
      </c>
      <c r="C46" s="8" t="inlineStr">
        <is>
          <t>15W-40</t>
        </is>
      </c>
      <c r="D46" s="12" t="n">
        <v>4</v>
      </c>
      <c r="E46" s="8" t="inlineStr">
        <is>
          <t>Mainstream</t>
        </is>
      </c>
      <c r="F46" s="13" t="n"/>
      <c r="G46" s="23" t="n">
        <v>0.04</v>
      </c>
      <c r="H46" s="11" t="inlineStr">
        <is>
          <t>N/A</t>
        </is>
      </c>
    </row>
    <row r="47">
      <c r="A47" s="8" t="inlineStr">
        <is>
          <t>PSO Carient Plus</t>
        </is>
      </c>
      <c r="B47" s="8" t="inlineStr">
        <is>
          <t>PCMO</t>
        </is>
      </c>
      <c r="C47" s="8" t="inlineStr">
        <is>
          <t>20W-50</t>
        </is>
      </c>
      <c r="D47" s="12" t="n">
        <v>4</v>
      </c>
      <c r="E47" s="8" t="inlineStr">
        <is>
          <t>Mainstream</t>
        </is>
      </c>
      <c r="F47" s="13" t="n"/>
      <c r="G47" s="23" t="n">
        <v>0.04</v>
      </c>
      <c r="H47" s="11" t="inlineStr">
        <is>
          <t>N/A</t>
        </is>
      </c>
    </row>
    <row r="48">
      <c r="A48" s="8" t="inlineStr">
        <is>
          <t>PSO Blaze 4T</t>
        </is>
      </c>
      <c r="B48" s="8" t="inlineStr">
        <is>
          <t>MCO</t>
        </is>
      </c>
      <c r="C48" s="8" t="inlineStr">
        <is>
          <t>10W-40</t>
        </is>
      </c>
      <c r="D48" s="12" t="n">
        <v>1</v>
      </c>
      <c r="E48" s="8" t="inlineStr">
        <is>
          <t>Mainstream</t>
        </is>
      </c>
      <c r="F48" s="13" t="n">
        <v>1083</v>
      </c>
      <c r="G48" s="23" t="n">
        <v>0.04</v>
      </c>
      <c r="H48" s="24">
        <f>$F$48*(1-$G$48)</f>
        <v/>
      </c>
    </row>
    <row r="49">
      <c r="A49" s="8" t="inlineStr">
        <is>
          <t>PSO Blaze 4T</t>
        </is>
      </c>
      <c r="B49" s="8" t="inlineStr">
        <is>
          <t>MCO</t>
        </is>
      </c>
      <c r="C49" s="8" t="inlineStr">
        <is>
          <t>20W-50</t>
        </is>
      </c>
      <c r="D49" s="12" t="n">
        <v>1</v>
      </c>
      <c r="E49" s="8" t="inlineStr">
        <is>
          <t>Mainstream</t>
        </is>
      </c>
      <c r="F49" s="13" t="n"/>
      <c r="G49" s="23" t="n">
        <v>0.04</v>
      </c>
      <c r="H49" s="11" t="inlineStr">
        <is>
          <t>N/A</t>
        </is>
      </c>
    </row>
    <row r="50">
      <c r="A50" s="8" t="inlineStr">
        <is>
          <t>PSO Blaze 4T</t>
        </is>
      </c>
      <c r="B50" s="8" t="inlineStr">
        <is>
          <t>MCO</t>
        </is>
      </c>
      <c r="C50" s="8" t="inlineStr">
        <is>
          <t>10W-40</t>
        </is>
      </c>
      <c r="D50" s="12" t="n">
        <v>0.7</v>
      </c>
      <c r="E50" s="8" t="inlineStr">
        <is>
          <t>Mainstream</t>
        </is>
      </c>
      <c r="F50" s="13" t="n">
        <v>1083</v>
      </c>
      <c r="G50" s="23" t="n">
        <v>0.04</v>
      </c>
      <c r="H50" s="24">
        <f>$F$50*(1-$G$50)</f>
        <v/>
      </c>
    </row>
    <row r="51">
      <c r="A51" s="8" t="inlineStr">
        <is>
          <t>PSO Blaze 4T</t>
        </is>
      </c>
      <c r="B51" s="8" t="inlineStr">
        <is>
          <t>MCO</t>
        </is>
      </c>
      <c r="C51" s="8" t="inlineStr">
        <is>
          <t>20W-50</t>
        </is>
      </c>
      <c r="D51" s="12" t="n">
        <v>0.7</v>
      </c>
      <c r="E51" s="8" t="inlineStr">
        <is>
          <t>Mainstream</t>
        </is>
      </c>
      <c r="F51" s="13" t="n"/>
      <c r="G51" s="23" t="n">
        <v>0.04</v>
      </c>
      <c r="H51" s="11" t="inlineStr">
        <is>
          <t>N/A</t>
        </is>
      </c>
    </row>
    <row r="52">
      <c r="A52" s="8" t="inlineStr">
        <is>
          <t>PSO Blaze Xtreme</t>
        </is>
      </c>
      <c r="B52" s="8" t="inlineStr">
        <is>
          <t>MCO</t>
        </is>
      </c>
      <c r="C52" s="8" t="inlineStr">
        <is>
          <t>10W-40</t>
        </is>
      </c>
      <c r="D52" s="12" t="n">
        <v>1</v>
      </c>
      <c r="E52" s="8" t="inlineStr">
        <is>
          <t>Premium</t>
        </is>
      </c>
      <c r="F52" s="13" t="n"/>
      <c r="G52" s="23" t="n">
        <v>0.06</v>
      </c>
      <c r="H52" s="11" t="inlineStr">
        <is>
          <t>N/A</t>
        </is>
      </c>
    </row>
    <row r="53">
      <c r="A53" s="8" t="inlineStr">
        <is>
          <t>PSO DEO 3000</t>
        </is>
      </c>
      <c r="B53" s="8" t="inlineStr">
        <is>
          <t>HDEO</t>
        </is>
      </c>
      <c r="C53" s="8" t="inlineStr">
        <is>
          <t>15W-40</t>
        </is>
      </c>
      <c r="D53" s="12" t="n">
        <v>4</v>
      </c>
      <c r="E53" s="8" t="inlineStr">
        <is>
          <t>Mainstream</t>
        </is>
      </c>
      <c r="F53" s="13" t="n"/>
      <c r="G53" s="23" t="n">
        <v>0.04</v>
      </c>
      <c r="H53" s="11" t="inlineStr">
        <is>
          <t>N/A</t>
        </is>
      </c>
    </row>
    <row r="54">
      <c r="A54" s="8" t="inlineStr">
        <is>
          <t>PSO DEO 3000</t>
        </is>
      </c>
      <c r="B54" s="8" t="inlineStr">
        <is>
          <t>HDEO</t>
        </is>
      </c>
      <c r="C54" s="8" t="inlineStr">
        <is>
          <t>20W-50</t>
        </is>
      </c>
      <c r="D54" s="12" t="n">
        <v>4</v>
      </c>
      <c r="E54" s="8" t="inlineStr">
        <is>
          <t>Mainstream</t>
        </is>
      </c>
      <c r="F54" s="13" t="n"/>
      <c r="G54" s="23" t="n">
        <v>0.04</v>
      </c>
      <c r="H54" s="11" t="inlineStr">
        <is>
          <t>N/A</t>
        </is>
      </c>
    </row>
    <row r="55">
      <c r="A55" s="8" t="inlineStr">
        <is>
          <t>PSO DEO 6000</t>
        </is>
      </c>
      <c r="B55" s="8" t="inlineStr">
        <is>
          <t>HDEO</t>
        </is>
      </c>
      <c r="C55" s="8" t="inlineStr">
        <is>
          <t>15W-40</t>
        </is>
      </c>
      <c r="D55" s="12" t="n">
        <v>1</v>
      </c>
      <c r="E55" s="8" t="inlineStr">
        <is>
          <t>Premium</t>
        </is>
      </c>
      <c r="F55" s="13" t="n"/>
      <c r="G55" s="23" t="n">
        <v>0.06</v>
      </c>
      <c r="H55" s="11" t="inlineStr">
        <is>
          <t>N/A</t>
        </is>
      </c>
    </row>
    <row r="56">
      <c r="A56" s="8" t="inlineStr">
        <is>
          <t>PSO DEO 6000</t>
        </is>
      </c>
      <c r="B56" s="8" t="inlineStr">
        <is>
          <t>HDEO</t>
        </is>
      </c>
      <c r="C56" s="8" t="inlineStr">
        <is>
          <t>15W-40</t>
        </is>
      </c>
      <c r="D56" s="12" t="n">
        <v>4</v>
      </c>
      <c r="E56" s="8" t="inlineStr">
        <is>
          <t>Premium</t>
        </is>
      </c>
      <c r="F56" s="13" t="n"/>
      <c r="G56" s="23" t="n">
        <v>0.06</v>
      </c>
      <c r="H56" s="11" t="inlineStr">
        <is>
          <t>N/A</t>
        </is>
      </c>
    </row>
    <row r="57">
      <c r="A57" s="8" t="inlineStr">
        <is>
          <t>PSO DEO 8000</t>
        </is>
      </c>
      <c r="B57" s="8" t="inlineStr">
        <is>
          <t>HDEO</t>
        </is>
      </c>
      <c r="C57" s="8" t="inlineStr">
        <is>
          <t>10W-40</t>
        </is>
      </c>
      <c r="D57" s="12" t="n">
        <v>1</v>
      </c>
      <c r="E57" s="8" t="inlineStr">
        <is>
          <t>Super Premium</t>
        </is>
      </c>
      <c r="F57" s="13" t="n">
        <v>1133</v>
      </c>
      <c r="G57" s="23" t="n">
        <v>0.08</v>
      </c>
      <c r="H57" s="24">
        <f>$F$57*(1-$G$57)</f>
        <v/>
      </c>
    </row>
    <row r="58">
      <c r="A58" s="8" t="inlineStr">
        <is>
          <t>PSO DEO 8000</t>
        </is>
      </c>
      <c r="B58" s="8" t="inlineStr">
        <is>
          <t>HDEO</t>
        </is>
      </c>
      <c r="C58" s="8" t="inlineStr">
        <is>
          <t>15W-40</t>
        </is>
      </c>
      <c r="D58" s="12" t="n">
        <v>1</v>
      </c>
      <c r="E58" s="8" t="inlineStr">
        <is>
          <t>Super Premium</t>
        </is>
      </c>
      <c r="F58" s="13" t="n"/>
      <c r="G58" s="23" t="n">
        <v>0.08</v>
      </c>
      <c r="H58" s="11" t="inlineStr">
        <is>
          <t>N/A</t>
        </is>
      </c>
    </row>
    <row r="59">
      <c r="A59" s="8" t="inlineStr">
        <is>
          <t>PSO DEO 8000</t>
        </is>
      </c>
      <c r="B59" s="8" t="inlineStr">
        <is>
          <t>HDEO</t>
        </is>
      </c>
      <c r="C59" s="8" t="inlineStr">
        <is>
          <t>10W-40</t>
        </is>
      </c>
      <c r="D59" s="12" t="n">
        <v>4</v>
      </c>
      <c r="E59" s="8" t="inlineStr">
        <is>
          <t>Super Premium</t>
        </is>
      </c>
      <c r="F59" s="13" t="n">
        <v>1133</v>
      </c>
      <c r="G59" s="23" t="n">
        <v>0.08</v>
      </c>
      <c r="H59" s="24">
        <f>$F$59*(1-$G$59)</f>
        <v/>
      </c>
    </row>
    <row r="60">
      <c r="A60" s="8" t="inlineStr">
        <is>
          <t>PSO DEO 8000</t>
        </is>
      </c>
      <c r="B60" s="8" t="inlineStr">
        <is>
          <t>HDEO</t>
        </is>
      </c>
      <c r="C60" s="8" t="inlineStr">
        <is>
          <t>15W-40</t>
        </is>
      </c>
      <c r="D60" s="12" t="n">
        <v>4</v>
      </c>
      <c r="E60" s="8" t="inlineStr">
        <is>
          <t>Super Premium</t>
        </is>
      </c>
      <c r="F60" s="13" t="n"/>
      <c r="G60" s="23" t="n">
        <v>0.08</v>
      </c>
      <c r="H60" s="11" t="inlineStr">
        <is>
          <t>N/A</t>
        </is>
      </c>
    </row>
    <row r="61">
      <c r="A61" s="8" t="inlineStr">
        <is>
          <t>PSO DEO Max</t>
        </is>
      </c>
      <c r="B61" s="8" t="inlineStr">
        <is>
          <t>HDEO</t>
        </is>
      </c>
      <c r="C61" s="8" t="inlineStr">
        <is>
          <t>10W-40</t>
        </is>
      </c>
      <c r="D61" s="12" t="n">
        <v>4</v>
      </c>
      <c r="E61" s="8" t="inlineStr">
        <is>
          <t>Super Premium</t>
        </is>
      </c>
      <c r="F61" s="13" t="n">
        <v>1133</v>
      </c>
      <c r="G61" s="23" t="n">
        <v>0.08</v>
      </c>
      <c r="H61" s="24">
        <f>$F$61*(1-$G$61)</f>
        <v/>
      </c>
    </row>
    <row r="62">
      <c r="A62" s="8" t="inlineStr">
        <is>
          <t>PSO DEO Max</t>
        </is>
      </c>
      <c r="B62" s="8" t="inlineStr">
        <is>
          <t>HDEO</t>
        </is>
      </c>
      <c r="C62" s="8" t="inlineStr">
        <is>
          <t>15W-40</t>
        </is>
      </c>
      <c r="D62" s="12" t="n">
        <v>4</v>
      </c>
      <c r="E62" s="8" t="inlineStr">
        <is>
          <t>Super Premium</t>
        </is>
      </c>
      <c r="F62" s="13" t="n"/>
      <c r="G62" s="23" t="n">
        <v>0.08</v>
      </c>
      <c r="H62" s="11" t="inlineStr">
        <is>
          <t>N/A</t>
        </is>
      </c>
    </row>
    <row r="63">
      <c r="A63" s="8" t="inlineStr">
        <is>
          <t>PSO Dieselube</t>
        </is>
      </c>
      <c r="B63" s="8" t="inlineStr">
        <is>
          <t>HDEO</t>
        </is>
      </c>
      <c r="C63" s="8" t="inlineStr">
        <is>
          <t>15W-40</t>
        </is>
      </c>
      <c r="D63" s="12" t="n">
        <v>4</v>
      </c>
      <c r="E63" s="8" t="inlineStr">
        <is>
          <t>Economy</t>
        </is>
      </c>
      <c r="F63" s="13" t="n">
        <v>1088</v>
      </c>
      <c r="G63" s="23" t="n">
        <v>0.02</v>
      </c>
      <c r="H63" s="24">
        <f>$F$63*(1-$G$63)</f>
        <v/>
      </c>
    </row>
    <row r="64">
      <c r="A64" s="8" t="inlineStr">
        <is>
          <t>PSO Dieselube</t>
        </is>
      </c>
      <c r="B64" s="8" t="inlineStr">
        <is>
          <t>HDEO</t>
        </is>
      </c>
      <c r="C64" s="8" t="inlineStr">
        <is>
          <t>20W-50</t>
        </is>
      </c>
      <c r="D64" s="12" t="n">
        <v>4</v>
      </c>
      <c r="E64" s="8" t="inlineStr">
        <is>
          <t>Economy</t>
        </is>
      </c>
      <c r="F64" s="13" t="n">
        <v>950</v>
      </c>
      <c r="G64" s="23" t="n">
        <v>0.02</v>
      </c>
      <c r="H64" s="24">
        <f>$F$64*(1-$G$64)</f>
        <v/>
      </c>
    </row>
    <row r="65" ht="10" customHeight="1"/>
    <row r="66" ht="17" customHeight="1">
      <c r="A66" s="25" t="inlineStr">
        <is>
          <t>HOW IT WORKS</t>
        </is>
      </c>
    </row>
    <row r="67" ht="78" customHeight="1">
      <c r="A67" s="26" t="inlineStr">
        <is>
          <t xml:space="preserve">  *  Identifies the Shell tier equivalent for each PSO brand: Carient Ultra = Shell Helix Ultra (Super Premium), Carient Plus = ZIC X7/Total Quartz 9000 (Mainstream), Carient SPRO = Kixx G1 (Economy).
  *  Pulls the Daraz.pk median price/L for that Shell benchmark brand x grade from the competitor dataset.
  *  Applies a PSO brand-perception discount: 8% Super Premium, 6% Premium, 4% Mainstream, 2% Economy.
  *  Formula: F1 Price = Shell_Tier_Median x (1 - Brand_Discount%)</t>
        </is>
      </c>
    </row>
    <row r="68" ht="5" customHeight="1"/>
    <row r="69" ht="17" customHeight="1">
      <c r="A69" s="3" t="inlineStr">
        <is>
          <t>RATIONALE  --  Why this framework is used</t>
        </is>
      </c>
    </row>
    <row r="70" ht="104" customHeight="1">
      <c r="A70" s="27" t="inlineStr">
        <is>
          <t xml:space="preserve">  *  Shell is the cognitive price anchor in Pakistan's lubricants market. Consumers use Shell prices as a mental reference when evaluating any other brand.
  *  Pricing relative to Shell gives PSO a clear, defensible story: 'same quality tier, better value.' This is easier to communicate than abstract per-litre comparisons.
  *  The brand discount is NOT permanent. It reflects today's gap in awareness and OEM approval depth. In markets where PSO has invested in workshops, the gap is already closer to 2-3%.
  *  Using the Shell MEDIAN (not minimum) avoids being dragged down by short-term Shell promotional prices.</t>
        </is>
      </c>
    </row>
    <row r="71" ht="5" customHeight="1"/>
    <row r="72" ht="17" customHeight="1">
      <c r="A72" s="28" t="inlineStr">
        <is>
          <t>IMPLICATIONS  --  What this means for PSO pricing decisions</t>
        </is>
      </c>
    </row>
    <row r="73" ht="117" customHeight="1">
      <c r="A73" s="29" t="inlineStr">
        <is>
          <t xml:space="preserve">  *  As PSO brand equity grows through OEM approvals and ATL/BTL investment, the discount should narrow: Super Premium target is 3-4% below Shell by 2028, not 8%. Each 1% narrowing recovers ~Rs 30-35/L.
  *  If Shell raises prices due to base oil cost pressures, PSO has immediate cover to follow -- the percentage gap is maintained, so the absolute price difference actually grows.
  *  For Carient Ultra 0W-20 and 5W-30, the 8% discount may already be too deep given product quality. Consider narrowing to 5% in FY26 and redirecting recovered margin into workshop visibility programmes.
  *  Monitor Shell pricing quarterly via the Daraz.pk scrape. Any Shell price movement triggers an immediate F1 recalculation.</t>
        </is>
      </c>
    </row>
  </sheetData>
  <mergeCells count="11">
    <mergeCell ref="A18:H18"/>
    <mergeCell ref="A4:H4"/>
    <mergeCell ref="A67:H67"/>
    <mergeCell ref="A70:H70"/>
    <mergeCell ref="A69:H69"/>
    <mergeCell ref="A73:H73"/>
    <mergeCell ref="A2:H2"/>
    <mergeCell ref="A72:H72"/>
    <mergeCell ref="A11:H11"/>
    <mergeCell ref="A66:H66"/>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5"/>
  <sheetViews>
    <sheetView workbookViewId="0">
      <pane ySplit="5" topLeftCell="A6" activePane="bottomLeft" state="frozen"/>
      <selection pane="bottomLeft" activeCell="A1" sqref="A1"/>
    </sheetView>
  </sheetViews>
  <sheetFormatPr baseColWidth="8" defaultRowHeight="15"/>
  <cols>
    <col width="28" customWidth="1" min="1" max="1"/>
    <col width="9" customWidth="1" min="2" max="2"/>
    <col width="8" customWidth="1" min="3" max="3"/>
    <col width="8" customWidth="1" min="4" max="4"/>
    <col width="18" customWidth="1" min="5" max="5"/>
    <col width="18" customWidth="1" min="6" max="6"/>
    <col width="12" customWidth="1" min="7" max="7"/>
  </cols>
  <sheetData>
    <row r="1" ht="28" customHeight="1">
      <c r="A1" s="10" t="inlineStr">
        <is>
          <t>F2 -- COMPETITIVE REFERENCE PRICE  (Weight: 30%)</t>
        </is>
      </c>
    </row>
    <row r="2" ht="45" customHeight="1">
      <c r="A2" s="2" t="inlineStr">
        <is>
          <t>F2 anchors PSO prices to the independent market median -- the price at which half the competitors charge more and half charge less. PSO is positioned 3% below median (best-value-in-class, not cheapest). FORMULA: F2 Price = Market_Median x 0.97</t>
        </is>
      </c>
    </row>
    <row r="3" ht="8" customHeight="1"/>
    <row r="4" ht="18" customHeight="1">
      <c r="A4" s="3" t="inlineStr">
        <is>
          <t>MARKET STATISTICS TABLE (Daraz.pk, July 2026 -- PSO/Carient excluded)</t>
        </is>
      </c>
    </row>
    <row r="5" ht="17" customHeight="1">
      <c r="A5" s="4" t="inlineStr">
        <is>
          <t>Grade</t>
        </is>
      </c>
      <c r="B5" s="4" t="inlineStr">
        <is>
          <t>Pack (L)</t>
        </is>
      </c>
      <c r="C5" s="4" t="inlineStr">
        <is>
          <t>Listings</t>
        </is>
      </c>
      <c r="D5" s="4" t="inlineStr">
        <is>
          <t>Min (PKR/L)</t>
        </is>
      </c>
      <c r="E5" s="4" t="inlineStr">
        <is>
          <t>Median (PKR/L)</t>
        </is>
      </c>
      <c r="F5" s="4" t="inlineStr">
        <is>
          <t>Max (PKR/L)</t>
        </is>
      </c>
      <c r="G5" s="4" t="inlineStr">
        <is>
          <t>Scope</t>
        </is>
      </c>
      <c r="H5" s="4" t="inlineStr">
        <is>
          <t>F2 = Median x 0.97</t>
        </is>
      </c>
    </row>
    <row r="6">
      <c r="A6" s="8" t="inlineStr">
        <is>
          <t>0W-20</t>
        </is>
      </c>
      <c r="B6" s="12" t="n">
        <v>1</v>
      </c>
      <c r="C6" s="11" t="n">
        <v>8</v>
      </c>
      <c r="D6" s="13" t="n">
        <v>3375</v>
      </c>
      <c r="E6" s="18" t="n">
        <v>3412</v>
      </c>
      <c r="F6" s="13" t="n">
        <v>4012</v>
      </c>
      <c r="G6" s="8" t="inlineStr">
        <is>
          <t>Grade-wide</t>
        </is>
      </c>
      <c r="H6" s="24">
        <f>$E$6*0.97</f>
        <v/>
      </c>
    </row>
    <row r="7">
      <c r="A7" s="8" t="inlineStr">
        <is>
          <t>0W-20</t>
        </is>
      </c>
      <c r="B7" s="12" t="n">
        <v>3</v>
      </c>
      <c r="C7" s="11" t="n">
        <v>8</v>
      </c>
      <c r="D7" s="13" t="n">
        <v>3375</v>
      </c>
      <c r="E7" s="18" t="n">
        <v>3412</v>
      </c>
      <c r="F7" s="13" t="n">
        <v>4012</v>
      </c>
      <c r="G7" s="8" t="inlineStr">
        <is>
          <t>Grade-wide</t>
        </is>
      </c>
      <c r="H7" s="24">
        <f>$E$7*0.97</f>
        <v/>
      </c>
    </row>
    <row r="8">
      <c r="A8" s="8" t="inlineStr">
        <is>
          <t>0W-20</t>
        </is>
      </c>
      <c r="B8" s="12" t="n">
        <v>4</v>
      </c>
      <c r="C8" s="11" t="n">
        <v>8</v>
      </c>
      <c r="D8" s="13" t="n">
        <v>3375</v>
      </c>
      <c r="E8" s="18" t="n">
        <v>3412</v>
      </c>
      <c r="F8" s="13" t="n">
        <v>4012</v>
      </c>
      <c r="G8" s="8" t="inlineStr">
        <is>
          <t>Exact pack</t>
        </is>
      </c>
      <c r="H8" s="24">
        <f>$E$8*0.97</f>
        <v/>
      </c>
    </row>
    <row r="9">
      <c r="A9" s="8" t="inlineStr">
        <is>
          <t>10W-40</t>
        </is>
      </c>
      <c r="B9" s="12" t="n">
        <v>0.7</v>
      </c>
      <c r="C9" s="11" t="n">
        <v>141</v>
      </c>
      <c r="D9" s="13" t="n">
        <v>909</v>
      </c>
      <c r="E9" s="18" t="n">
        <v>1125</v>
      </c>
      <c r="F9" s="13" t="n">
        <v>2333</v>
      </c>
      <c r="G9" s="8" t="inlineStr">
        <is>
          <t>Grade-wide</t>
        </is>
      </c>
      <c r="H9" s="24">
        <f>$E$9*0.97</f>
        <v/>
      </c>
    </row>
    <row r="10">
      <c r="A10" s="8" t="inlineStr">
        <is>
          <t>10W-40</t>
        </is>
      </c>
      <c r="B10" s="12" t="n">
        <v>1</v>
      </c>
      <c r="C10" s="11" t="n">
        <v>15</v>
      </c>
      <c r="D10" s="13" t="n">
        <v>1660</v>
      </c>
      <c r="E10" s="18" t="n">
        <v>2300</v>
      </c>
      <c r="F10" s="13" t="n">
        <v>2300</v>
      </c>
      <c r="G10" s="8" t="inlineStr">
        <is>
          <t>Exact pack</t>
        </is>
      </c>
      <c r="H10" s="24">
        <f>$E$10*0.97</f>
        <v/>
      </c>
    </row>
    <row r="11">
      <c r="A11" s="8" t="inlineStr">
        <is>
          <t>10W-40</t>
        </is>
      </c>
      <c r="B11" s="12" t="n">
        <v>3</v>
      </c>
      <c r="C11" s="11" t="n">
        <v>50</v>
      </c>
      <c r="D11" s="13" t="n">
        <v>909</v>
      </c>
      <c r="E11" s="18" t="n">
        <v>1542</v>
      </c>
      <c r="F11" s="13" t="n">
        <v>2333</v>
      </c>
      <c r="G11" s="8" t="inlineStr">
        <is>
          <t>Exact pack</t>
        </is>
      </c>
      <c r="H11" s="24">
        <f>$E$11*0.97</f>
        <v/>
      </c>
    </row>
    <row r="12">
      <c r="A12" s="8" t="inlineStr">
        <is>
          <t>10W-40</t>
        </is>
      </c>
      <c r="B12" s="12" t="n">
        <v>4</v>
      </c>
      <c r="C12" s="11" t="n">
        <v>76</v>
      </c>
      <c r="D12" s="13" t="n">
        <v>922</v>
      </c>
      <c r="E12" s="18" t="n">
        <v>1025</v>
      </c>
      <c r="F12" s="13" t="n">
        <v>2150</v>
      </c>
      <c r="G12" s="8" t="inlineStr">
        <is>
          <t>Exact pack</t>
        </is>
      </c>
      <c r="H12" s="24">
        <f>$E$12*0.97</f>
        <v/>
      </c>
    </row>
    <row r="13">
      <c r="A13" s="8" t="inlineStr">
        <is>
          <t>15W-40</t>
        </is>
      </c>
      <c r="B13" s="12" t="n">
        <v>1</v>
      </c>
      <c r="C13" s="11" t="n">
        <v>14</v>
      </c>
      <c r="D13" s="13" t="n">
        <v>1088</v>
      </c>
      <c r="E13" s="18" t="n">
        <v>1750</v>
      </c>
      <c r="F13" s="13" t="n">
        <v>2262</v>
      </c>
      <c r="G13" s="8" t="inlineStr">
        <is>
          <t>Grade-wide</t>
        </is>
      </c>
      <c r="H13" s="24">
        <f>$E$13*0.97</f>
        <v/>
      </c>
    </row>
    <row r="14">
      <c r="A14" s="8" t="inlineStr">
        <is>
          <t>15W-40</t>
        </is>
      </c>
      <c r="B14" s="12" t="n">
        <v>3</v>
      </c>
      <c r="C14" s="11" t="n">
        <v>14</v>
      </c>
      <c r="D14" s="13" t="n">
        <v>1088</v>
      </c>
      <c r="E14" s="18" t="n">
        <v>1750</v>
      </c>
      <c r="F14" s="13" t="n">
        <v>2262</v>
      </c>
      <c r="G14" s="8" t="inlineStr">
        <is>
          <t>Grade-wide</t>
        </is>
      </c>
      <c r="H14" s="24">
        <f>$E$14*0.97</f>
        <v/>
      </c>
    </row>
    <row r="15">
      <c r="A15" s="8" t="inlineStr">
        <is>
          <t>15W-40</t>
        </is>
      </c>
      <c r="B15" s="12" t="n">
        <v>4</v>
      </c>
      <c r="C15" s="11" t="n">
        <v>14</v>
      </c>
      <c r="D15" s="13" t="n">
        <v>1088</v>
      </c>
      <c r="E15" s="18" t="n">
        <v>1750</v>
      </c>
      <c r="F15" s="13" t="n">
        <v>2262</v>
      </c>
      <c r="G15" s="8" t="inlineStr">
        <is>
          <t>Exact pack</t>
        </is>
      </c>
      <c r="H15" s="24">
        <f>$E$15*0.97</f>
        <v/>
      </c>
    </row>
    <row r="16">
      <c r="A16" s="8" t="inlineStr">
        <is>
          <t>20W-50</t>
        </is>
      </c>
      <c r="B16" s="12" t="n">
        <v>0.7</v>
      </c>
      <c r="C16" s="11" t="n">
        <v>141</v>
      </c>
      <c r="D16" s="13" t="n">
        <v>796</v>
      </c>
      <c r="E16" s="18" t="n">
        <v>1133</v>
      </c>
      <c r="F16" s="13" t="n">
        <v>2400</v>
      </c>
      <c r="G16" s="8" t="inlineStr">
        <is>
          <t>Grade-wide</t>
        </is>
      </c>
      <c r="H16" s="24">
        <f>$E$16*0.97</f>
        <v/>
      </c>
    </row>
    <row r="17">
      <c r="A17" s="8" t="inlineStr">
        <is>
          <t>20W-50</t>
        </is>
      </c>
      <c r="B17" s="12" t="n">
        <v>1</v>
      </c>
      <c r="C17" s="11" t="n">
        <v>14</v>
      </c>
      <c r="D17" s="13" t="n">
        <v>1390</v>
      </c>
      <c r="E17" s="18" t="n">
        <v>1550</v>
      </c>
      <c r="F17" s="13" t="n">
        <v>2400</v>
      </c>
      <c r="G17" s="8" t="inlineStr">
        <is>
          <t>Exact pack</t>
        </is>
      </c>
      <c r="H17" s="24">
        <f>$E$17*0.97</f>
        <v/>
      </c>
    </row>
    <row r="18">
      <c r="A18" s="8" t="inlineStr">
        <is>
          <t>20W-50</t>
        </is>
      </c>
      <c r="B18" s="12" t="n">
        <v>3</v>
      </c>
      <c r="C18" s="11" t="n">
        <v>33</v>
      </c>
      <c r="D18" s="13" t="n">
        <v>927</v>
      </c>
      <c r="E18" s="18" t="n">
        <v>1183</v>
      </c>
      <c r="F18" s="13" t="n">
        <v>1900</v>
      </c>
      <c r="G18" s="8" t="inlineStr">
        <is>
          <t>Exact pack</t>
        </is>
      </c>
      <c r="H18" s="24">
        <f>$E$18*0.97</f>
        <v/>
      </c>
    </row>
    <row r="19">
      <c r="A19" s="8" t="inlineStr">
        <is>
          <t>20W-50</t>
        </is>
      </c>
      <c r="B19" s="12" t="n">
        <v>4</v>
      </c>
      <c r="C19" s="11" t="n">
        <v>79</v>
      </c>
      <c r="D19" s="13" t="n">
        <v>796</v>
      </c>
      <c r="E19" s="18" t="n">
        <v>1025</v>
      </c>
      <c r="F19" s="13" t="n">
        <v>2375</v>
      </c>
      <c r="G19" s="8" t="inlineStr">
        <is>
          <t>Exact pack</t>
        </is>
      </c>
      <c r="H19" s="24">
        <f>$E$19*0.97</f>
        <v/>
      </c>
    </row>
    <row r="20">
      <c r="A20" s="8" t="inlineStr">
        <is>
          <t>5W-20</t>
        </is>
      </c>
      <c r="B20" s="12" t="n">
        <v>1</v>
      </c>
      <c r="C20" s="11" t="n">
        <v>9</v>
      </c>
      <c r="D20" s="13" t="n">
        <v>1833</v>
      </c>
      <c r="E20" s="18" t="n">
        <v>1900</v>
      </c>
      <c r="F20" s="13" t="n">
        <v>2400</v>
      </c>
      <c r="G20" s="8" t="inlineStr">
        <is>
          <t>Grade-wide</t>
        </is>
      </c>
      <c r="H20" s="24">
        <f>$E$20*0.97</f>
        <v/>
      </c>
    </row>
    <row r="21">
      <c r="A21" s="8" t="inlineStr">
        <is>
          <t>5W-20</t>
        </is>
      </c>
      <c r="B21" s="12" t="n">
        <v>3</v>
      </c>
      <c r="C21" s="11" t="n">
        <v>4</v>
      </c>
      <c r="D21" s="13" t="n">
        <v>1833</v>
      </c>
      <c r="E21" s="18" t="n">
        <v>1833</v>
      </c>
      <c r="F21" s="13" t="n">
        <v>1833</v>
      </c>
      <c r="G21" s="8" t="inlineStr">
        <is>
          <t>Exact pack</t>
        </is>
      </c>
      <c r="H21" s="24">
        <f>$E$21*0.97</f>
        <v/>
      </c>
    </row>
    <row r="22">
      <c r="A22" s="8" t="inlineStr">
        <is>
          <t>5W-20</t>
        </is>
      </c>
      <c r="B22" s="12" t="n">
        <v>4</v>
      </c>
      <c r="C22" s="11" t="n">
        <v>5</v>
      </c>
      <c r="D22" s="13" t="n">
        <v>1900</v>
      </c>
      <c r="E22" s="18" t="n">
        <v>1900</v>
      </c>
      <c r="F22" s="13" t="n">
        <v>2400</v>
      </c>
      <c r="G22" s="8" t="inlineStr">
        <is>
          <t>Exact pack</t>
        </is>
      </c>
      <c r="H22" s="24">
        <f>$E$22*0.97</f>
        <v/>
      </c>
    </row>
    <row r="23">
      <c r="A23" s="8" t="inlineStr">
        <is>
          <t>5W-30</t>
        </is>
      </c>
      <c r="B23" s="12" t="n">
        <v>1</v>
      </c>
      <c r="C23" s="11" t="n">
        <v>31</v>
      </c>
      <c r="D23" s="13" t="n">
        <v>876</v>
      </c>
      <c r="E23" s="18" t="n">
        <v>1019</v>
      </c>
      <c r="F23" s="13" t="n">
        <v>1500</v>
      </c>
      <c r="G23" s="8" t="inlineStr">
        <is>
          <t>Grade-wide</t>
        </is>
      </c>
      <c r="H23" s="24">
        <f>$E$23*0.97</f>
        <v/>
      </c>
    </row>
    <row r="24">
      <c r="A24" s="8" t="inlineStr">
        <is>
          <t>5W-30</t>
        </is>
      </c>
      <c r="B24" s="12" t="n">
        <v>3</v>
      </c>
      <c r="C24" s="11" t="n">
        <v>9</v>
      </c>
      <c r="D24" s="13" t="n">
        <v>997</v>
      </c>
      <c r="E24" s="18" t="n">
        <v>1130</v>
      </c>
      <c r="F24" s="13" t="n">
        <v>1466</v>
      </c>
      <c r="G24" s="8" t="inlineStr">
        <is>
          <t>Exact pack</t>
        </is>
      </c>
      <c r="H24" s="24">
        <f>$E$24*0.97</f>
        <v/>
      </c>
    </row>
    <row r="25">
      <c r="A25" s="8" t="inlineStr">
        <is>
          <t>5W-30</t>
        </is>
      </c>
      <c r="B25" s="12" t="n">
        <v>4</v>
      </c>
      <c r="C25" s="11" t="n">
        <v>22</v>
      </c>
      <c r="D25" s="13" t="n">
        <v>876</v>
      </c>
      <c r="E25" s="18" t="n">
        <v>1019</v>
      </c>
      <c r="F25" s="13" t="n">
        <v>1500</v>
      </c>
      <c r="G25" s="8" t="inlineStr">
        <is>
          <t>Exact pack</t>
        </is>
      </c>
      <c r="H25" s="24">
        <f>$E$25*0.97</f>
        <v/>
      </c>
    </row>
    <row r="26">
      <c r="A26" s="8" t="inlineStr">
        <is>
          <t>5W-40</t>
        </is>
      </c>
      <c r="B26" s="12" t="n">
        <v>1</v>
      </c>
      <c r="C26" s="11" t="n">
        <v>13</v>
      </c>
      <c r="D26" s="13" t="n">
        <v>2750</v>
      </c>
      <c r="E26" s="18" t="n">
        <v>3412</v>
      </c>
      <c r="F26" s="13" t="n">
        <v>4350</v>
      </c>
      <c r="G26" s="8" t="inlineStr">
        <is>
          <t>Grade-wide</t>
        </is>
      </c>
      <c r="H26" s="24">
        <f>$E$26*0.97</f>
        <v/>
      </c>
    </row>
    <row r="27">
      <c r="A27" s="8" t="inlineStr">
        <is>
          <t>5W-40</t>
        </is>
      </c>
      <c r="B27" s="12" t="n">
        <v>3</v>
      </c>
      <c r="C27" s="11" t="n">
        <v>13</v>
      </c>
      <c r="D27" s="13" t="n">
        <v>2750</v>
      </c>
      <c r="E27" s="18" t="n">
        <v>3412</v>
      </c>
      <c r="F27" s="13" t="n">
        <v>4350</v>
      </c>
      <c r="G27" s="8" t="inlineStr">
        <is>
          <t>Grade-wide</t>
        </is>
      </c>
      <c r="H27" s="24">
        <f>$E$27*0.97</f>
        <v/>
      </c>
    </row>
    <row r="28">
      <c r="A28" s="8" t="inlineStr">
        <is>
          <t>5W-40</t>
        </is>
      </c>
      <c r="B28" s="12" t="n">
        <v>4</v>
      </c>
      <c r="C28" s="11" t="n">
        <v>13</v>
      </c>
      <c r="D28" s="13" t="n">
        <v>2750</v>
      </c>
      <c r="E28" s="18" t="n">
        <v>3412</v>
      </c>
      <c r="F28" s="13" t="n">
        <v>4350</v>
      </c>
      <c r="G28" s="8" t="inlineStr">
        <is>
          <t>Exact pack</t>
        </is>
      </c>
      <c r="H28" s="24">
        <f>$E$28*0.97</f>
        <v/>
      </c>
    </row>
    <row r="29" ht="8" customHeight="1"/>
    <row r="30" ht="18" customHeight="1">
      <c r="A30" s="3" t="inlineStr">
        <is>
          <t>BRAND-LEVEL RESULTS -- F2 Price per PSO SKU</t>
        </is>
      </c>
    </row>
    <row r="31" ht="17" customHeight="1">
      <c r="A31" s="4" t="inlineStr">
        <is>
          <t>Brand</t>
        </is>
      </c>
      <c r="B31" s="4" t="inlineStr">
        <is>
          <t>Oil Type</t>
        </is>
      </c>
      <c r="C31" s="4" t="inlineStr">
        <is>
          <t>Grade</t>
        </is>
      </c>
      <c r="D31" s="4" t="inlineStr">
        <is>
          <t>Pack (L)</t>
        </is>
      </c>
      <c r="E31" s="4" t="inlineStr">
        <is>
          <t>Market Median (PKR/L)</t>
        </is>
      </c>
      <c r="F31" s="4" t="inlineStr">
        <is>
          <t>F2 CRP (PKR/L)</t>
        </is>
      </c>
      <c r="G31" s="4" t="inlineStr">
        <is>
          <t>vs Median</t>
        </is>
      </c>
    </row>
    <row r="32">
      <c r="A32" s="8" t="inlineStr">
        <is>
          <t>PSO Carient SPRO</t>
        </is>
      </c>
      <c r="B32" s="8" t="inlineStr">
        <is>
          <t>PCMO</t>
        </is>
      </c>
      <c r="C32" s="8" t="inlineStr">
        <is>
          <t>15W-40</t>
        </is>
      </c>
      <c r="D32" s="12" t="n">
        <v>3</v>
      </c>
      <c r="E32" s="13" t="n">
        <v>1750</v>
      </c>
      <c r="F32" s="13" t="n">
        <v>1698</v>
      </c>
      <c r="G32" s="30" t="n">
        <v>-0.03</v>
      </c>
    </row>
    <row r="33">
      <c r="A33" s="8" t="inlineStr">
        <is>
          <t>PSO Carient SPRO</t>
        </is>
      </c>
      <c r="B33" s="8" t="inlineStr">
        <is>
          <t>PCMO</t>
        </is>
      </c>
      <c r="C33" s="8" t="inlineStr">
        <is>
          <t>20W-50</t>
        </is>
      </c>
      <c r="D33" s="12" t="n">
        <v>3</v>
      </c>
      <c r="E33" s="13" t="n">
        <v>1183</v>
      </c>
      <c r="F33" s="13" t="n">
        <v>1148</v>
      </c>
      <c r="G33" s="30" t="n">
        <v>-0.03</v>
      </c>
    </row>
    <row r="34">
      <c r="A34" s="8" t="inlineStr">
        <is>
          <t>PSO Carient SPRO</t>
        </is>
      </c>
      <c r="B34" s="8" t="inlineStr">
        <is>
          <t>PCMO</t>
        </is>
      </c>
      <c r="C34" s="8" t="inlineStr">
        <is>
          <t>15W-40</t>
        </is>
      </c>
      <c r="D34" s="12" t="n">
        <v>4</v>
      </c>
      <c r="E34" s="13" t="n">
        <v>1750</v>
      </c>
      <c r="F34" s="13" t="n">
        <v>1698</v>
      </c>
      <c r="G34" s="30" t="n">
        <v>-0.03</v>
      </c>
    </row>
    <row r="35">
      <c r="A35" s="8" t="inlineStr">
        <is>
          <t>PSO Carient SPRO</t>
        </is>
      </c>
      <c r="B35" s="8" t="inlineStr">
        <is>
          <t>PCMO</t>
        </is>
      </c>
      <c r="C35" s="8" t="inlineStr">
        <is>
          <t>20W-50</t>
        </is>
      </c>
      <c r="D35" s="12" t="n">
        <v>4</v>
      </c>
      <c r="E35" s="13" t="n">
        <v>1025</v>
      </c>
      <c r="F35" s="13" t="n">
        <v>994</v>
      </c>
      <c r="G35" s="30" t="n">
        <v>-0.03</v>
      </c>
    </row>
    <row r="36">
      <c r="A36" s="8" t="inlineStr">
        <is>
          <t>PSO Carient FS</t>
        </is>
      </c>
      <c r="B36" s="8" t="inlineStr">
        <is>
          <t>PCMO</t>
        </is>
      </c>
      <c r="C36" s="8" t="inlineStr">
        <is>
          <t>5W-30</t>
        </is>
      </c>
      <c r="D36" s="12" t="n">
        <v>4</v>
      </c>
      <c r="E36" s="13" t="n">
        <v>1019</v>
      </c>
      <c r="F36" s="13" t="n">
        <v>988</v>
      </c>
      <c r="G36" s="30" t="n">
        <v>-0.03</v>
      </c>
    </row>
    <row r="37">
      <c r="A37" s="8" t="inlineStr">
        <is>
          <t>PSO Carient FS</t>
        </is>
      </c>
      <c r="B37" s="8" t="inlineStr">
        <is>
          <t>PCMO</t>
        </is>
      </c>
      <c r="C37" s="8" t="inlineStr">
        <is>
          <t>5W-40</t>
        </is>
      </c>
      <c r="D37" s="12" t="n">
        <v>4</v>
      </c>
      <c r="E37" s="13" t="n">
        <v>3412</v>
      </c>
      <c r="F37" s="13" t="n">
        <v>3310</v>
      </c>
      <c r="G37" s="30" t="n">
        <v>-0.03</v>
      </c>
    </row>
    <row r="38">
      <c r="A38" s="8" t="inlineStr">
        <is>
          <t>PSO Carient FS</t>
        </is>
      </c>
      <c r="B38" s="8" t="inlineStr">
        <is>
          <t>PCMO</t>
        </is>
      </c>
      <c r="C38" s="8" t="inlineStr">
        <is>
          <t>10W-40</t>
        </is>
      </c>
      <c r="D38" s="12" t="n">
        <v>4</v>
      </c>
      <c r="E38" s="13" t="n">
        <v>1025</v>
      </c>
      <c r="F38" s="13" t="n">
        <v>994</v>
      </c>
      <c r="G38" s="30" t="n">
        <v>-0.03</v>
      </c>
    </row>
    <row r="39">
      <c r="A39" s="8" t="inlineStr">
        <is>
          <t>PSO Carient Ultra</t>
        </is>
      </c>
      <c r="B39" s="8" t="inlineStr">
        <is>
          <t>PCMO</t>
        </is>
      </c>
      <c r="C39" s="8" t="inlineStr">
        <is>
          <t>0W-20</t>
        </is>
      </c>
      <c r="D39" s="12" t="n">
        <v>1</v>
      </c>
      <c r="E39" s="13" t="n">
        <v>3412</v>
      </c>
      <c r="F39" s="13" t="n">
        <v>3310</v>
      </c>
      <c r="G39" s="30" t="n">
        <v>-0.03</v>
      </c>
    </row>
    <row r="40">
      <c r="A40" s="8" t="inlineStr">
        <is>
          <t>PSO Carient Ultra</t>
        </is>
      </c>
      <c r="B40" s="8" t="inlineStr">
        <is>
          <t>PCMO</t>
        </is>
      </c>
      <c r="C40" s="8" t="inlineStr">
        <is>
          <t>5W-20</t>
        </is>
      </c>
      <c r="D40" s="12" t="n">
        <v>1</v>
      </c>
      <c r="E40" s="13" t="n">
        <v>1900</v>
      </c>
      <c r="F40" s="13" t="n">
        <v>1843</v>
      </c>
      <c r="G40" s="30" t="n">
        <v>-0.03</v>
      </c>
    </row>
    <row r="41">
      <c r="A41" s="8" t="inlineStr">
        <is>
          <t>PSO Carient Ultra</t>
        </is>
      </c>
      <c r="B41" s="8" t="inlineStr">
        <is>
          <t>PCMO</t>
        </is>
      </c>
      <c r="C41" s="8" t="inlineStr">
        <is>
          <t>5W-30</t>
        </is>
      </c>
      <c r="D41" s="12" t="n">
        <v>1</v>
      </c>
      <c r="E41" s="13" t="n">
        <v>1019</v>
      </c>
      <c r="F41" s="13" t="n">
        <v>988</v>
      </c>
      <c r="G41" s="30" t="n">
        <v>-0.03</v>
      </c>
    </row>
    <row r="42">
      <c r="A42" s="8" t="inlineStr">
        <is>
          <t>PSO Carient Ultra</t>
        </is>
      </c>
      <c r="B42" s="8" t="inlineStr">
        <is>
          <t>PCMO</t>
        </is>
      </c>
      <c r="C42" s="8" t="inlineStr">
        <is>
          <t>5W-40</t>
        </is>
      </c>
      <c r="D42" s="12" t="n">
        <v>1</v>
      </c>
      <c r="E42" s="13" t="n">
        <v>3412</v>
      </c>
      <c r="F42" s="13" t="n">
        <v>3310</v>
      </c>
      <c r="G42" s="30" t="n">
        <v>-0.03</v>
      </c>
    </row>
    <row r="43">
      <c r="A43" s="8" t="inlineStr">
        <is>
          <t>PSO Carient Ultra</t>
        </is>
      </c>
      <c r="B43" s="8" t="inlineStr">
        <is>
          <t>PCMO</t>
        </is>
      </c>
      <c r="C43" s="8" t="inlineStr">
        <is>
          <t>0W-20</t>
        </is>
      </c>
      <c r="D43" s="12" t="n">
        <v>3</v>
      </c>
      <c r="E43" s="13" t="n">
        <v>3412</v>
      </c>
      <c r="F43" s="13" t="n">
        <v>3310</v>
      </c>
      <c r="G43" s="30" t="n">
        <v>-0.03</v>
      </c>
    </row>
    <row r="44">
      <c r="A44" s="8" t="inlineStr">
        <is>
          <t>PSO Carient Ultra</t>
        </is>
      </c>
      <c r="B44" s="8" t="inlineStr">
        <is>
          <t>PCMO</t>
        </is>
      </c>
      <c r="C44" s="8" t="inlineStr">
        <is>
          <t>5W-20</t>
        </is>
      </c>
      <c r="D44" s="12" t="n">
        <v>3</v>
      </c>
      <c r="E44" s="13" t="n">
        <v>1833</v>
      </c>
      <c r="F44" s="13" t="n">
        <v>1778</v>
      </c>
      <c r="G44" s="30" t="n">
        <v>-0.03</v>
      </c>
    </row>
    <row r="45">
      <c r="A45" s="8" t="inlineStr">
        <is>
          <t>PSO Carient Ultra</t>
        </is>
      </c>
      <c r="B45" s="8" t="inlineStr">
        <is>
          <t>PCMO</t>
        </is>
      </c>
      <c r="C45" s="8" t="inlineStr">
        <is>
          <t>5W-30</t>
        </is>
      </c>
      <c r="D45" s="12" t="n">
        <v>3</v>
      </c>
      <c r="E45" s="13" t="n">
        <v>1130</v>
      </c>
      <c r="F45" s="13" t="n">
        <v>1096</v>
      </c>
      <c r="G45" s="30" t="n">
        <v>-0.03</v>
      </c>
    </row>
    <row r="46">
      <c r="A46" s="8" t="inlineStr">
        <is>
          <t>PSO Carient Ultra</t>
        </is>
      </c>
      <c r="B46" s="8" t="inlineStr">
        <is>
          <t>PCMO</t>
        </is>
      </c>
      <c r="C46" s="8" t="inlineStr">
        <is>
          <t>5W-40</t>
        </is>
      </c>
      <c r="D46" s="12" t="n">
        <v>3</v>
      </c>
      <c r="E46" s="13" t="n">
        <v>3412</v>
      </c>
      <c r="F46" s="13" t="n">
        <v>3310</v>
      </c>
      <c r="G46" s="30" t="n">
        <v>-0.03</v>
      </c>
    </row>
    <row r="47">
      <c r="A47" s="8" t="inlineStr">
        <is>
          <t>PSO Carient Ultra</t>
        </is>
      </c>
      <c r="B47" s="8" t="inlineStr">
        <is>
          <t>PCMO</t>
        </is>
      </c>
      <c r="C47" s="8" t="inlineStr">
        <is>
          <t>0W-20</t>
        </is>
      </c>
      <c r="D47" s="12" t="n">
        <v>4</v>
      </c>
      <c r="E47" s="13" t="n">
        <v>3412</v>
      </c>
      <c r="F47" s="13" t="n">
        <v>3310</v>
      </c>
      <c r="G47" s="30" t="n">
        <v>-0.03</v>
      </c>
    </row>
    <row r="48">
      <c r="A48" s="8" t="inlineStr">
        <is>
          <t>PSO Carient Ultra</t>
        </is>
      </c>
      <c r="B48" s="8" t="inlineStr">
        <is>
          <t>PCMO</t>
        </is>
      </c>
      <c r="C48" s="8" t="inlineStr">
        <is>
          <t>5W-20</t>
        </is>
      </c>
      <c r="D48" s="12" t="n">
        <v>4</v>
      </c>
      <c r="E48" s="13" t="n">
        <v>1900</v>
      </c>
      <c r="F48" s="13" t="n">
        <v>1843</v>
      </c>
      <c r="G48" s="30" t="n">
        <v>-0.03</v>
      </c>
    </row>
    <row r="49">
      <c r="A49" s="8" t="inlineStr">
        <is>
          <t>PSO Carient Ultra</t>
        </is>
      </c>
      <c r="B49" s="8" t="inlineStr">
        <is>
          <t>PCMO</t>
        </is>
      </c>
      <c r="C49" s="8" t="inlineStr">
        <is>
          <t>5W-30</t>
        </is>
      </c>
      <c r="D49" s="12" t="n">
        <v>4</v>
      </c>
      <c r="E49" s="13" t="n">
        <v>1019</v>
      </c>
      <c r="F49" s="13" t="n">
        <v>988</v>
      </c>
      <c r="G49" s="30" t="n">
        <v>-0.03</v>
      </c>
    </row>
    <row r="50">
      <c r="A50" s="8" t="inlineStr">
        <is>
          <t>PSO Carient Ultra</t>
        </is>
      </c>
      <c r="B50" s="8" t="inlineStr">
        <is>
          <t>PCMO</t>
        </is>
      </c>
      <c r="C50" s="8" t="inlineStr">
        <is>
          <t>5W-40</t>
        </is>
      </c>
      <c r="D50" s="12" t="n">
        <v>4</v>
      </c>
      <c r="E50" s="13" t="n">
        <v>3412</v>
      </c>
      <c r="F50" s="13" t="n">
        <v>3310</v>
      </c>
      <c r="G50" s="30" t="n">
        <v>-0.03</v>
      </c>
    </row>
    <row r="51">
      <c r="A51" s="8" t="inlineStr">
        <is>
          <t>PSO Carient Plus</t>
        </is>
      </c>
      <c r="B51" s="8" t="inlineStr">
        <is>
          <t>PCMO</t>
        </is>
      </c>
      <c r="C51" s="8" t="inlineStr">
        <is>
          <t>10W-40</t>
        </is>
      </c>
      <c r="D51" s="12" t="n">
        <v>1</v>
      </c>
      <c r="E51" s="13" t="n">
        <v>2300</v>
      </c>
      <c r="F51" s="13" t="n">
        <v>2231</v>
      </c>
      <c r="G51" s="30" t="n">
        <v>-0.03</v>
      </c>
    </row>
    <row r="52">
      <c r="A52" s="8" t="inlineStr">
        <is>
          <t>PSO Carient Plus</t>
        </is>
      </c>
      <c r="B52" s="8" t="inlineStr">
        <is>
          <t>PCMO</t>
        </is>
      </c>
      <c r="C52" s="8" t="inlineStr">
        <is>
          <t>15W-40</t>
        </is>
      </c>
      <c r="D52" s="12" t="n">
        <v>1</v>
      </c>
      <c r="E52" s="13" t="n">
        <v>1750</v>
      </c>
      <c r="F52" s="13" t="n">
        <v>1698</v>
      </c>
      <c r="G52" s="30" t="n">
        <v>-0.03</v>
      </c>
    </row>
    <row r="53">
      <c r="A53" s="8" t="inlineStr">
        <is>
          <t>PSO Carient Plus</t>
        </is>
      </c>
      <c r="B53" s="8" t="inlineStr">
        <is>
          <t>PCMO</t>
        </is>
      </c>
      <c r="C53" s="8" t="inlineStr">
        <is>
          <t>20W-50</t>
        </is>
      </c>
      <c r="D53" s="12" t="n">
        <v>1</v>
      </c>
      <c r="E53" s="13" t="n">
        <v>1550</v>
      </c>
      <c r="F53" s="13" t="n">
        <v>1504</v>
      </c>
      <c r="G53" s="30" t="n">
        <v>-0.03</v>
      </c>
    </row>
    <row r="54">
      <c r="A54" s="8" t="inlineStr">
        <is>
          <t>PSO Carient Plus</t>
        </is>
      </c>
      <c r="B54" s="8" t="inlineStr">
        <is>
          <t>PCMO</t>
        </is>
      </c>
      <c r="C54" s="8" t="inlineStr">
        <is>
          <t>10W-40</t>
        </is>
      </c>
      <c r="D54" s="12" t="n">
        <v>3</v>
      </c>
      <c r="E54" s="13" t="n">
        <v>1542</v>
      </c>
      <c r="F54" s="13" t="n">
        <v>1496</v>
      </c>
      <c r="G54" s="30" t="n">
        <v>-0.03</v>
      </c>
    </row>
    <row r="55">
      <c r="A55" s="8" t="inlineStr">
        <is>
          <t>PSO Carient Plus</t>
        </is>
      </c>
      <c r="B55" s="8" t="inlineStr">
        <is>
          <t>PCMO</t>
        </is>
      </c>
      <c r="C55" s="8" t="inlineStr">
        <is>
          <t>15W-40</t>
        </is>
      </c>
      <c r="D55" s="12" t="n">
        <v>3</v>
      </c>
      <c r="E55" s="13" t="n">
        <v>1750</v>
      </c>
      <c r="F55" s="13" t="n">
        <v>1698</v>
      </c>
      <c r="G55" s="30" t="n">
        <v>-0.03</v>
      </c>
    </row>
    <row r="56">
      <c r="A56" s="8" t="inlineStr">
        <is>
          <t>PSO Carient Plus</t>
        </is>
      </c>
      <c r="B56" s="8" t="inlineStr">
        <is>
          <t>PCMO</t>
        </is>
      </c>
      <c r="C56" s="8" t="inlineStr">
        <is>
          <t>20W-50</t>
        </is>
      </c>
      <c r="D56" s="12" t="n">
        <v>3</v>
      </c>
      <c r="E56" s="13" t="n">
        <v>1183</v>
      </c>
      <c r="F56" s="13" t="n">
        <v>1148</v>
      </c>
      <c r="G56" s="30" t="n">
        <v>-0.03</v>
      </c>
    </row>
    <row r="57">
      <c r="A57" s="8" t="inlineStr">
        <is>
          <t>PSO Carient Plus</t>
        </is>
      </c>
      <c r="B57" s="8" t="inlineStr">
        <is>
          <t>PCMO</t>
        </is>
      </c>
      <c r="C57" s="8" t="inlineStr">
        <is>
          <t>10W-40</t>
        </is>
      </c>
      <c r="D57" s="12" t="n">
        <v>4</v>
      </c>
      <c r="E57" s="13" t="n">
        <v>1025</v>
      </c>
      <c r="F57" s="13" t="n">
        <v>994</v>
      </c>
      <c r="G57" s="30" t="n">
        <v>-0.03</v>
      </c>
    </row>
    <row r="58">
      <c r="A58" s="8" t="inlineStr">
        <is>
          <t>PSO Carient Plus</t>
        </is>
      </c>
      <c r="B58" s="8" t="inlineStr">
        <is>
          <t>PCMO</t>
        </is>
      </c>
      <c r="C58" s="8" t="inlineStr">
        <is>
          <t>15W-40</t>
        </is>
      </c>
      <c r="D58" s="12" t="n">
        <v>4</v>
      </c>
      <c r="E58" s="13" t="n">
        <v>1750</v>
      </c>
      <c r="F58" s="13" t="n">
        <v>1698</v>
      </c>
      <c r="G58" s="30" t="n">
        <v>-0.03</v>
      </c>
    </row>
    <row r="59">
      <c r="A59" s="8" t="inlineStr">
        <is>
          <t>PSO Carient Plus</t>
        </is>
      </c>
      <c r="B59" s="8" t="inlineStr">
        <is>
          <t>PCMO</t>
        </is>
      </c>
      <c r="C59" s="8" t="inlineStr">
        <is>
          <t>20W-50</t>
        </is>
      </c>
      <c r="D59" s="12" t="n">
        <v>4</v>
      </c>
      <c r="E59" s="13" t="n">
        <v>1025</v>
      </c>
      <c r="F59" s="13" t="n">
        <v>994</v>
      </c>
      <c r="G59" s="30" t="n">
        <v>-0.03</v>
      </c>
    </row>
    <row r="60">
      <c r="A60" s="8" t="inlineStr">
        <is>
          <t>PSO Blaze 4T</t>
        </is>
      </c>
      <c r="B60" s="8" t="inlineStr">
        <is>
          <t>MCO</t>
        </is>
      </c>
      <c r="C60" s="8" t="inlineStr">
        <is>
          <t>10W-40</t>
        </is>
      </c>
      <c r="D60" s="12" t="n">
        <v>1</v>
      </c>
      <c r="E60" s="13" t="n">
        <v>2300</v>
      </c>
      <c r="F60" s="13" t="n">
        <v>2231</v>
      </c>
      <c r="G60" s="30" t="n">
        <v>-0.03</v>
      </c>
    </row>
    <row r="61">
      <c r="A61" s="8" t="inlineStr">
        <is>
          <t>PSO Blaze 4T</t>
        </is>
      </c>
      <c r="B61" s="8" t="inlineStr">
        <is>
          <t>MCO</t>
        </is>
      </c>
      <c r="C61" s="8" t="inlineStr">
        <is>
          <t>20W-50</t>
        </is>
      </c>
      <c r="D61" s="12" t="n">
        <v>1</v>
      </c>
      <c r="E61" s="13" t="n">
        <v>1550</v>
      </c>
      <c r="F61" s="13" t="n">
        <v>1504</v>
      </c>
      <c r="G61" s="30" t="n">
        <v>-0.03</v>
      </c>
    </row>
    <row r="62">
      <c r="A62" s="8" t="inlineStr">
        <is>
          <t>PSO Blaze 4T</t>
        </is>
      </c>
      <c r="B62" s="8" t="inlineStr">
        <is>
          <t>MCO</t>
        </is>
      </c>
      <c r="C62" s="8" t="inlineStr">
        <is>
          <t>10W-40</t>
        </is>
      </c>
      <c r="D62" s="12" t="n">
        <v>0.7</v>
      </c>
      <c r="E62" s="13" t="n">
        <v>1125</v>
      </c>
      <c r="F62" s="13" t="n">
        <v>1091</v>
      </c>
      <c r="G62" s="30" t="n">
        <v>-0.03</v>
      </c>
    </row>
    <row r="63">
      <c r="A63" s="8" t="inlineStr">
        <is>
          <t>PSO Blaze 4T</t>
        </is>
      </c>
      <c r="B63" s="8" t="inlineStr">
        <is>
          <t>MCO</t>
        </is>
      </c>
      <c r="C63" s="8" t="inlineStr">
        <is>
          <t>20W-50</t>
        </is>
      </c>
      <c r="D63" s="12" t="n">
        <v>0.7</v>
      </c>
      <c r="E63" s="13" t="n">
        <v>1133</v>
      </c>
      <c r="F63" s="13" t="n">
        <v>1099</v>
      </c>
      <c r="G63" s="30" t="n">
        <v>-0.03</v>
      </c>
    </row>
    <row r="64">
      <c r="A64" s="8" t="inlineStr">
        <is>
          <t>PSO Blaze Xtreme</t>
        </is>
      </c>
      <c r="B64" s="8" t="inlineStr">
        <is>
          <t>MCO</t>
        </is>
      </c>
      <c r="C64" s="8" t="inlineStr">
        <is>
          <t>10W-40</t>
        </is>
      </c>
      <c r="D64" s="12" t="n">
        <v>1</v>
      </c>
      <c r="E64" s="13" t="n">
        <v>2300</v>
      </c>
      <c r="F64" s="13" t="n">
        <v>2231</v>
      </c>
      <c r="G64" s="30" t="n">
        <v>-0.03</v>
      </c>
    </row>
    <row r="65">
      <c r="A65" s="8" t="inlineStr">
        <is>
          <t>PSO DEO 3000</t>
        </is>
      </c>
      <c r="B65" s="8" t="inlineStr">
        <is>
          <t>HDEO</t>
        </is>
      </c>
      <c r="C65" s="8" t="inlineStr">
        <is>
          <t>15W-40</t>
        </is>
      </c>
      <c r="D65" s="12" t="n">
        <v>4</v>
      </c>
      <c r="E65" s="13" t="n">
        <v>1750</v>
      </c>
      <c r="F65" s="13" t="n">
        <v>1698</v>
      </c>
      <c r="G65" s="30" t="n">
        <v>-0.03</v>
      </c>
    </row>
    <row r="66">
      <c r="A66" s="8" t="inlineStr">
        <is>
          <t>PSO DEO 3000</t>
        </is>
      </c>
      <c r="B66" s="8" t="inlineStr">
        <is>
          <t>HDEO</t>
        </is>
      </c>
      <c r="C66" s="8" t="inlineStr">
        <is>
          <t>20W-50</t>
        </is>
      </c>
      <c r="D66" s="12" t="n">
        <v>4</v>
      </c>
      <c r="E66" s="13" t="n">
        <v>1025</v>
      </c>
      <c r="F66" s="13" t="n">
        <v>994</v>
      </c>
      <c r="G66" s="30" t="n">
        <v>-0.03</v>
      </c>
    </row>
    <row r="67">
      <c r="A67" s="8" t="inlineStr">
        <is>
          <t>PSO DEO 6000</t>
        </is>
      </c>
      <c r="B67" s="8" t="inlineStr">
        <is>
          <t>HDEO</t>
        </is>
      </c>
      <c r="C67" s="8" t="inlineStr">
        <is>
          <t>15W-40</t>
        </is>
      </c>
      <c r="D67" s="12" t="n">
        <v>1</v>
      </c>
      <c r="E67" s="13" t="n">
        <v>1750</v>
      </c>
      <c r="F67" s="13" t="n">
        <v>1698</v>
      </c>
      <c r="G67" s="30" t="n">
        <v>-0.03</v>
      </c>
    </row>
    <row r="68">
      <c r="A68" s="8" t="inlineStr">
        <is>
          <t>PSO DEO 6000</t>
        </is>
      </c>
      <c r="B68" s="8" t="inlineStr">
        <is>
          <t>HDEO</t>
        </is>
      </c>
      <c r="C68" s="8" t="inlineStr">
        <is>
          <t>15W-40</t>
        </is>
      </c>
      <c r="D68" s="12" t="n">
        <v>4</v>
      </c>
      <c r="E68" s="13" t="n">
        <v>1750</v>
      </c>
      <c r="F68" s="13" t="n">
        <v>1698</v>
      </c>
      <c r="G68" s="30" t="n">
        <v>-0.03</v>
      </c>
    </row>
    <row r="69">
      <c r="A69" s="8" t="inlineStr">
        <is>
          <t>PSO DEO 8000</t>
        </is>
      </c>
      <c r="B69" s="8" t="inlineStr">
        <is>
          <t>HDEO</t>
        </is>
      </c>
      <c r="C69" s="8" t="inlineStr">
        <is>
          <t>10W-40</t>
        </is>
      </c>
      <c r="D69" s="12" t="n">
        <v>1</v>
      </c>
      <c r="E69" s="13" t="n">
        <v>2300</v>
      </c>
      <c r="F69" s="13" t="n">
        <v>2231</v>
      </c>
      <c r="G69" s="30" t="n">
        <v>-0.03</v>
      </c>
    </row>
    <row r="70">
      <c r="A70" s="8" t="inlineStr">
        <is>
          <t>PSO DEO 8000</t>
        </is>
      </c>
      <c r="B70" s="8" t="inlineStr">
        <is>
          <t>HDEO</t>
        </is>
      </c>
      <c r="C70" s="8" t="inlineStr">
        <is>
          <t>15W-40</t>
        </is>
      </c>
      <c r="D70" s="12" t="n">
        <v>1</v>
      </c>
      <c r="E70" s="13" t="n">
        <v>1750</v>
      </c>
      <c r="F70" s="13" t="n">
        <v>1698</v>
      </c>
      <c r="G70" s="30" t="n">
        <v>-0.03</v>
      </c>
    </row>
    <row r="71">
      <c r="A71" s="8" t="inlineStr">
        <is>
          <t>PSO DEO 8000</t>
        </is>
      </c>
      <c r="B71" s="8" t="inlineStr">
        <is>
          <t>HDEO</t>
        </is>
      </c>
      <c r="C71" s="8" t="inlineStr">
        <is>
          <t>10W-40</t>
        </is>
      </c>
      <c r="D71" s="12" t="n">
        <v>4</v>
      </c>
      <c r="E71" s="13" t="n">
        <v>1025</v>
      </c>
      <c r="F71" s="13" t="n">
        <v>994</v>
      </c>
      <c r="G71" s="30" t="n">
        <v>-0.03</v>
      </c>
    </row>
    <row r="72">
      <c r="A72" s="8" t="inlineStr">
        <is>
          <t>PSO DEO 8000</t>
        </is>
      </c>
      <c r="B72" s="8" t="inlineStr">
        <is>
          <t>HDEO</t>
        </is>
      </c>
      <c r="C72" s="8" t="inlineStr">
        <is>
          <t>15W-40</t>
        </is>
      </c>
      <c r="D72" s="12" t="n">
        <v>4</v>
      </c>
      <c r="E72" s="13" t="n">
        <v>1750</v>
      </c>
      <c r="F72" s="13" t="n">
        <v>1698</v>
      </c>
      <c r="G72" s="30" t="n">
        <v>-0.03</v>
      </c>
    </row>
    <row r="73">
      <c r="A73" s="8" t="inlineStr">
        <is>
          <t>PSO DEO Max</t>
        </is>
      </c>
      <c r="B73" s="8" t="inlineStr">
        <is>
          <t>HDEO</t>
        </is>
      </c>
      <c r="C73" s="8" t="inlineStr">
        <is>
          <t>10W-40</t>
        </is>
      </c>
      <c r="D73" s="12" t="n">
        <v>4</v>
      </c>
      <c r="E73" s="13" t="n">
        <v>1025</v>
      </c>
      <c r="F73" s="13" t="n">
        <v>994</v>
      </c>
      <c r="G73" s="30" t="n">
        <v>-0.03</v>
      </c>
    </row>
    <row r="74">
      <c r="A74" s="8" t="inlineStr">
        <is>
          <t>PSO DEO Max</t>
        </is>
      </c>
      <c r="B74" s="8" t="inlineStr">
        <is>
          <t>HDEO</t>
        </is>
      </c>
      <c r="C74" s="8" t="inlineStr">
        <is>
          <t>15W-40</t>
        </is>
      </c>
      <c r="D74" s="12" t="n">
        <v>4</v>
      </c>
      <c r="E74" s="13" t="n">
        <v>1750</v>
      </c>
      <c r="F74" s="13" t="n">
        <v>1698</v>
      </c>
      <c r="G74" s="30" t="n">
        <v>-0.03</v>
      </c>
    </row>
    <row r="75">
      <c r="A75" s="8" t="inlineStr">
        <is>
          <t>PSO Dieselube</t>
        </is>
      </c>
      <c r="B75" s="8" t="inlineStr">
        <is>
          <t>HDEO</t>
        </is>
      </c>
      <c r="C75" s="8" t="inlineStr">
        <is>
          <t>15W-40</t>
        </is>
      </c>
      <c r="D75" s="12" t="n">
        <v>4</v>
      </c>
      <c r="E75" s="13" t="n">
        <v>1750</v>
      </c>
      <c r="F75" s="13" t="n">
        <v>1698</v>
      </c>
      <c r="G75" s="30" t="n">
        <v>-0.03</v>
      </c>
    </row>
    <row r="76">
      <c r="A76" s="8" t="inlineStr">
        <is>
          <t>PSO Dieselube</t>
        </is>
      </c>
      <c r="B76" s="8" t="inlineStr">
        <is>
          <t>HDEO</t>
        </is>
      </c>
      <c r="C76" s="8" t="inlineStr">
        <is>
          <t>20W-50</t>
        </is>
      </c>
      <c r="D76" s="12" t="n">
        <v>4</v>
      </c>
      <c r="E76" s="13" t="n">
        <v>1025</v>
      </c>
      <c r="F76" s="13" t="n">
        <v>994</v>
      </c>
      <c r="G76" s="30" t="n">
        <v>-0.03</v>
      </c>
    </row>
    <row r="77" ht="10" customHeight="1"/>
    <row r="78" ht="17" customHeight="1">
      <c r="A78" s="25" t="inlineStr">
        <is>
          <t>HOW IT WORKS</t>
        </is>
      </c>
    </row>
    <row r="79" ht="91" customHeight="1">
      <c r="A79" s="26" t="inlineStr">
        <is>
          <t xml:space="preserve">  *  Collects all non-PSO Daraz.pk listings for each grade x pack combination from the scraped dataset.
  *  Computes the market median (50th percentile price per litre) -- the price where half the competitors charge more and half charge less.
  *  Positions PSO at exactly 3% below median: F2 = Market_Median x 0.97.
  *  When fewer than 3 exact-pack listings exist, scope widens to all packs for that grade (flagged as 'Grade-wide').</t>
        </is>
      </c>
    </row>
    <row r="80" ht="5" customHeight="1"/>
    <row r="81" ht="17" customHeight="1">
      <c r="A81" s="3" t="inlineStr">
        <is>
          <t>RATIONALE  --  Why this framework is used</t>
        </is>
      </c>
    </row>
    <row r="82" ht="104" customHeight="1">
      <c r="A82" s="27" t="inlineStr">
        <is>
          <t xml:space="preserve">  *  The market median is the most transparent benchmark -- directly observable by any buyer comparing options online or in a workshop. It cannot be disputed.
  *  3% below median (not 20% below) avoids the 'cheap brand' trap. FMCG research shows extreme discounting signals inferior quality more than value.
  *  Being 3% below median means PSO wins the tie-break: same spec, lower price, wins the shelf.
  *  F2 carries the highest weight (30%) because it is the most current, market-facing signal and automatically absorbs competitor price movements without requiring model recalibration.</t>
        </is>
      </c>
    </row>
    <row r="83" ht="5" customHeight="1"/>
    <row r="84" ht="17" customHeight="1">
      <c r="A84" s="28" t="inlineStr">
        <is>
          <t>IMPLICATIONS  --  What this means for PSO pricing decisions</t>
        </is>
      </c>
    </row>
    <row r="85" ht="117" customHeight="1">
      <c r="A85" s="29" t="inlineStr">
        <is>
          <t xml:space="preserve">  *  Recalculate F2 quarterly using fresh Daraz scrape data. If competitor prices rise, F2 will show PSO can raise prices without losing competitive position.
  *  The 3% discount is a policy choice. If PSO builds stronger brand equity, reduce it to 1-2%, capturing significant margin without volume loss.
  *  For 'Grade-wide' scope SKUs, the F2 result is less reliable -- prioritise getting pack-specific competitor data before finalising list prices for those SKUs.
  *  F2 sets the baseline for F3 (pack architecture) and F6 (geographic). An error in F2 propagates downstream: data quality in the competitor scrape is the single most critical input.</t>
        </is>
      </c>
    </row>
  </sheetData>
  <mergeCells count="10">
    <mergeCell ref="A4:H4"/>
    <mergeCell ref="A78:H78"/>
    <mergeCell ref="A30:H30"/>
    <mergeCell ref="A81:H81"/>
    <mergeCell ref="A2:H2"/>
    <mergeCell ref="A82:H82"/>
    <mergeCell ref="A85:H85"/>
    <mergeCell ref="A1:H1"/>
    <mergeCell ref="A84:H84"/>
    <mergeCell ref="A79:H7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3"/>
  <sheetViews>
    <sheetView workbookViewId="0">
      <pane ySplit="5" topLeftCell="A6" activePane="bottomLeft" state="frozen"/>
      <selection pane="bottomLeft" activeCell="A1" sqref="A1"/>
    </sheetView>
  </sheetViews>
  <sheetFormatPr baseColWidth="8" defaultRowHeight="15"/>
  <cols>
    <col width="28" customWidth="1" min="1" max="1"/>
    <col width="9" customWidth="1" min="2" max="2"/>
    <col width="8" customWidth="1" min="3" max="3"/>
    <col width="8" customWidth="1" min="4" max="4"/>
    <col width="20" customWidth="1" min="5" max="5"/>
    <col width="12" customWidth="1" min="6" max="6"/>
    <col width="18" customWidth="1" min="7" max="7"/>
  </cols>
  <sheetData>
    <row r="1" ht="28" customHeight="1">
      <c r="A1" s="10" t="inlineStr">
        <is>
          <t>F3 -- PRICE-PACK ARCHITECTURE  (Weight: 20%)</t>
        </is>
      </c>
    </row>
    <row r="2" ht="40" customHeight="1">
      <c r="A2" s="2" t="inlineStr">
        <is>
          <t>The 4L pack is the anchor (multiplier = 1.00x). All other pack sizes are priced relative to the 4L market median. This creates a legible, consistent price ladder. FORMULA: F3 Price = 4L_Market_Median x PPA_Multiplier</t>
        </is>
      </c>
    </row>
    <row r="3" ht="8" customHeight="1"/>
    <row r="4" ht="18" customHeight="1">
      <c r="A4" s="3" t="inlineStr">
        <is>
          <t>PARAMETER TABLE -- PPA Multipliers (international retail lubricant norms)</t>
        </is>
      </c>
    </row>
    <row r="5" ht="17" customHeight="1">
      <c r="A5" s="4" t="inlineStr">
        <is>
          <t>Pack Size (L)</t>
        </is>
      </c>
      <c r="B5" s="4" t="inlineStr">
        <is>
          <t>Multiplier vs 4L Anchor</t>
        </is>
      </c>
      <c r="C5" s="4" t="inlineStr">
        <is>
          <t>Premium/(Discount)</t>
        </is>
      </c>
      <c r="D5" s="4" t="inlineStr">
        <is>
          <t>Rationale</t>
        </is>
      </c>
    </row>
    <row r="6">
      <c r="A6" s="12" t="n">
        <v>0.8</v>
      </c>
      <c r="B6" s="12" t="n">
        <v>1.55</v>
      </c>
      <c r="C6" s="11" t="inlineStr">
        <is>
          <t>+55%</t>
        </is>
      </c>
      <c r="D6" s="8" t="inlineStr">
        <is>
          <t>Top-up sachet -- convenience + dispensing premium</t>
        </is>
      </c>
    </row>
    <row r="7">
      <c r="A7" s="12" t="n">
        <v>1</v>
      </c>
      <c r="B7" s="12" t="n">
        <v>1.4</v>
      </c>
      <c r="C7" s="11" t="inlineStr">
        <is>
          <t>+40%</t>
        </is>
      </c>
      <c r="D7" s="8" t="inlineStr">
        <is>
          <t>Retail single-change -- most common passenger car oil change</t>
        </is>
      </c>
    </row>
    <row r="8">
      <c r="A8" s="12" t="n">
        <v>1.5</v>
      </c>
      <c r="B8" s="12" t="n">
        <v>1.3</v>
      </c>
      <c r="C8" s="11" t="inlineStr">
        <is>
          <t>+30%</t>
        </is>
      </c>
      <c r="D8" s="8" t="inlineStr">
        <is>
          <t>Partial change plus reserve</t>
        </is>
      </c>
    </row>
    <row r="9">
      <c r="A9" s="12" t="n">
        <v>2</v>
      </c>
      <c r="B9" s="12" t="n">
        <v>1.2</v>
      </c>
      <c r="C9" s="11" t="inlineStr">
        <is>
          <t>+20%</t>
        </is>
      </c>
      <c r="D9" s="8" t="inlineStr">
        <is>
          <t>DIY market -- two-thirds engine change</t>
        </is>
      </c>
    </row>
    <row r="10">
      <c r="A10" s="12" t="n">
        <v>3</v>
      </c>
      <c r="B10" s="12" t="n">
        <v>1.12</v>
      </c>
      <c r="C10" s="11" t="inlineStr">
        <is>
          <t>+12%</t>
        </is>
      </c>
      <c r="D10" s="8" t="inlineStr">
        <is>
          <t>Near-full PCMO change (3L sump common)</t>
        </is>
      </c>
    </row>
    <row r="11">
      <c r="A11" s="12" t="n">
        <v>3.5</v>
      </c>
      <c r="B11" s="12" t="n">
        <v>1.1</v>
      </c>
      <c r="C11" s="11" t="inlineStr">
        <is>
          <t>+10%</t>
        </is>
      </c>
      <c r="D11" s="8" t="inlineStr">
        <is>
          <t>Slight discount -- niche size</t>
        </is>
      </c>
    </row>
    <row r="12">
      <c r="A12" s="31" t="n">
        <v>4</v>
      </c>
      <c r="B12" s="32" t="n">
        <v>1</v>
      </c>
      <c r="C12" s="11" t="inlineStr">
        <is>
          <t>+0%</t>
        </is>
      </c>
      <c r="D12" s="8" t="inlineStr">
        <is>
          <t>ANCHOR -- full 4L engine sump change</t>
        </is>
      </c>
    </row>
    <row r="13">
      <c r="A13" s="12" t="n">
        <v>5</v>
      </c>
      <c r="B13" s="12" t="n">
        <v>0.97</v>
      </c>
      <c r="C13" s="11" t="inlineStr">
        <is>
          <t>-3%</t>
        </is>
      </c>
      <c r="D13" s="8" t="inlineStr">
        <is>
          <t>Slight bulk discount -- light commercial</t>
        </is>
      </c>
    </row>
    <row r="14">
      <c r="A14" s="12" t="n">
        <v>7</v>
      </c>
      <c r="B14" s="12" t="n">
        <v>0.92</v>
      </c>
      <c r="C14" s="11" t="inlineStr">
        <is>
          <t>-8%</t>
        </is>
      </c>
      <c r="D14" s="8" t="inlineStr">
        <is>
          <t>Bulk / workshop supply</t>
        </is>
      </c>
    </row>
    <row r="15">
      <c r="A15" s="12" t="n">
        <v>10</v>
      </c>
      <c r="B15" s="12" t="n">
        <v>0.88</v>
      </c>
      <c r="C15" s="11" t="inlineStr">
        <is>
          <t>-12%</t>
        </is>
      </c>
      <c r="D15" s="8" t="inlineStr">
        <is>
          <t>Distributor / fleet bulk</t>
        </is>
      </c>
    </row>
    <row r="16">
      <c r="A16" s="12" t="n">
        <v>20</v>
      </c>
      <c r="B16" s="12" t="n">
        <v>0.78</v>
      </c>
      <c r="C16" s="11" t="inlineStr">
        <is>
          <t>-22%</t>
        </is>
      </c>
      <c r="D16" s="8" t="inlineStr">
        <is>
          <t>20L drum -- workshop / small fleet</t>
        </is>
      </c>
    </row>
    <row r="17" ht="8" customHeight="1"/>
    <row r="18" ht="18" customHeight="1">
      <c r="A18" s="3" t="inlineStr">
        <is>
          <t>4L ANCHOR PRICES BY GRADE (from competitor market medians)</t>
        </is>
      </c>
    </row>
    <row r="19" ht="17" customHeight="1">
      <c r="A19" s="4" t="inlineStr">
        <is>
          <t>Grade</t>
        </is>
      </c>
      <c r="B19" s="4" t="inlineStr">
        <is>
          <t>4L Market Median (PKR/L)</t>
        </is>
      </c>
      <c r="C19" s="4" t="inlineStr">
        <is>
          <t>Data Points</t>
        </is>
      </c>
      <c r="D19" s="4" t="inlineStr">
        <is>
          <t>Note</t>
        </is>
      </c>
    </row>
    <row r="20">
      <c r="A20" s="7" t="inlineStr">
        <is>
          <t>0W-20</t>
        </is>
      </c>
      <c r="B20" s="18" t="n">
        <v>3412</v>
      </c>
      <c r="C20" s="11" t="n">
        <v>8</v>
      </c>
      <c r="D20" s="8" t="inlineStr">
        <is>
          <t>Exact 4L</t>
        </is>
      </c>
    </row>
    <row r="21">
      <c r="A21" s="7" t="inlineStr">
        <is>
          <t>10W-40</t>
        </is>
      </c>
      <c r="B21" s="18" t="n">
        <v>1025</v>
      </c>
      <c r="C21" s="11" t="n">
        <v>76</v>
      </c>
      <c r="D21" s="8" t="inlineStr">
        <is>
          <t>Exact 4L</t>
        </is>
      </c>
    </row>
    <row r="22">
      <c r="A22" s="7" t="inlineStr">
        <is>
          <t>15W-40</t>
        </is>
      </c>
      <c r="B22" s="18" t="n">
        <v>1750</v>
      </c>
      <c r="C22" s="11" t="n">
        <v>14</v>
      </c>
      <c r="D22" s="8" t="inlineStr">
        <is>
          <t>Exact 4L</t>
        </is>
      </c>
    </row>
    <row r="23">
      <c r="A23" s="7" t="inlineStr">
        <is>
          <t>20W-50</t>
        </is>
      </c>
      <c r="B23" s="18" t="n">
        <v>1025</v>
      </c>
      <c r="C23" s="11" t="n">
        <v>79</v>
      </c>
      <c r="D23" s="8" t="inlineStr">
        <is>
          <t>Exact 4L</t>
        </is>
      </c>
    </row>
    <row r="24">
      <c r="A24" s="7" t="inlineStr">
        <is>
          <t>5W-20</t>
        </is>
      </c>
      <c r="B24" s="18" t="n">
        <v>1900</v>
      </c>
      <c r="C24" s="11" t="n">
        <v>5</v>
      </c>
      <c r="D24" s="8" t="inlineStr">
        <is>
          <t>Exact 4L</t>
        </is>
      </c>
    </row>
    <row r="25">
      <c r="A25" s="7" t="inlineStr">
        <is>
          <t>5W-30</t>
        </is>
      </c>
      <c r="B25" s="18" t="n">
        <v>1019</v>
      </c>
      <c r="C25" s="11" t="n">
        <v>22</v>
      </c>
      <c r="D25" s="8" t="inlineStr">
        <is>
          <t>Exact 4L</t>
        </is>
      </c>
    </row>
    <row r="26">
      <c r="A26" s="7" t="inlineStr">
        <is>
          <t>5W-40</t>
        </is>
      </c>
      <c r="B26" s="18" t="n">
        <v>3412</v>
      </c>
      <c r="C26" s="11" t="n">
        <v>13</v>
      </c>
      <c r="D26" s="8" t="inlineStr">
        <is>
          <t>Exact 4L</t>
        </is>
      </c>
    </row>
    <row r="27" ht="8" customHeight="1"/>
    <row r="28" ht="18" customHeight="1">
      <c r="A28" s="3" t="inlineStr">
        <is>
          <t>CALCULATION TABLE -- F3 Price per PSO SKU</t>
        </is>
      </c>
    </row>
    <row r="29" ht="17" customHeight="1">
      <c r="A29" s="4" t="inlineStr">
        <is>
          <t>Brand</t>
        </is>
      </c>
      <c r="B29" s="4" t="inlineStr">
        <is>
          <t>Oil Type</t>
        </is>
      </c>
      <c r="C29" s="4" t="inlineStr">
        <is>
          <t>Grade</t>
        </is>
      </c>
      <c r="D29" s="4" t="inlineStr">
        <is>
          <t>Pack (L)</t>
        </is>
      </c>
      <c r="E29" s="4" t="inlineStr">
        <is>
          <t>4L Anchor (PKR/L)</t>
        </is>
      </c>
      <c r="F29" s="4" t="inlineStr">
        <is>
          <t>Multiplier</t>
        </is>
      </c>
      <c r="G29" s="4" t="inlineStr">
        <is>
          <t>F3 Price (PKR/L)</t>
        </is>
      </c>
    </row>
    <row r="30">
      <c r="A30" s="8" t="inlineStr">
        <is>
          <t>PSO Carient SPRO</t>
        </is>
      </c>
      <c r="B30" s="8" t="inlineStr">
        <is>
          <t>PCMO</t>
        </is>
      </c>
      <c r="C30" s="8" t="inlineStr">
        <is>
          <t>15W-40</t>
        </is>
      </c>
      <c r="D30" s="12" t="n">
        <v>3</v>
      </c>
      <c r="E30" s="13" t="n">
        <v>1750</v>
      </c>
      <c r="F30" s="12" t="n">
        <v>1.12</v>
      </c>
      <c r="G30" s="24">
        <f>$E$30*$F$30</f>
        <v/>
      </c>
    </row>
    <row r="31">
      <c r="A31" s="8" t="inlineStr">
        <is>
          <t>PSO Carient SPRO</t>
        </is>
      </c>
      <c r="B31" s="8" t="inlineStr">
        <is>
          <t>PCMO</t>
        </is>
      </c>
      <c r="C31" s="8" t="inlineStr">
        <is>
          <t>20W-50</t>
        </is>
      </c>
      <c r="D31" s="12" t="n">
        <v>3</v>
      </c>
      <c r="E31" s="13" t="n">
        <v>1025</v>
      </c>
      <c r="F31" s="12" t="n">
        <v>1.12</v>
      </c>
      <c r="G31" s="24">
        <f>$E$31*$F$31</f>
        <v/>
      </c>
    </row>
    <row r="32">
      <c r="A32" s="8" t="inlineStr">
        <is>
          <t>PSO Carient SPRO</t>
        </is>
      </c>
      <c r="B32" s="8" t="inlineStr">
        <is>
          <t>PCMO</t>
        </is>
      </c>
      <c r="C32" s="8" t="inlineStr">
        <is>
          <t>15W-40</t>
        </is>
      </c>
      <c r="D32" s="12" t="n">
        <v>4</v>
      </c>
      <c r="E32" s="13" t="n">
        <v>1750</v>
      </c>
      <c r="F32" s="12" t="n">
        <v>1</v>
      </c>
      <c r="G32" s="24">
        <f>$E$32*$F$32</f>
        <v/>
      </c>
    </row>
    <row r="33">
      <c r="A33" s="8" t="inlineStr">
        <is>
          <t>PSO Carient SPRO</t>
        </is>
      </c>
      <c r="B33" s="8" t="inlineStr">
        <is>
          <t>PCMO</t>
        </is>
      </c>
      <c r="C33" s="8" t="inlineStr">
        <is>
          <t>20W-50</t>
        </is>
      </c>
      <c r="D33" s="12" t="n">
        <v>4</v>
      </c>
      <c r="E33" s="13" t="n">
        <v>1025</v>
      </c>
      <c r="F33" s="12" t="n">
        <v>1</v>
      </c>
      <c r="G33" s="24">
        <f>$E$33*$F$33</f>
        <v/>
      </c>
    </row>
    <row r="34">
      <c r="A34" s="8" t="inlineStr">
        <is>
          <t>PSO Carient FS</t>
        </is>
      </c>
      <c r="B34" s="8" t="inlineStr">
        <is>
          <t>PCMO</t>
        </is>
      </c>
      <c r="C34" s="8" t="inlineStr">
        <is>
          <t>5W-30</t>
        </is>
      </c>
      <c r="D34" s="12" t="n">
        <v>4</v>
      </c>
      <c r="E34" s="13" t="n">
        <v>1019</v>
      </c>
      <c r="F34" s="12" t="n">
        <v>1</v>
      </c>
      <c r="G34" s="24">
        <f>$E$34*$F$34</f>
        <v/>
      </c>
    </row>
    <row r="35">
      <c r="A35" s="8" t="inlineStr">
        <is>
          <t>PSO Carient FS</t>
        </is>
      </c>
      <c r="B35" s="8" t="inlineStr">
        <is>
          <t>PCMO</t>
        </is>
      </c>
      <c r="C35" s="8" t="inlineStr">
        <is>
          <t>5W-40</t>
        </is>
      </c>
      <c r="D35" s="12" t="n">
        <v>4</v>
      </c>
      <c r="E35" s="13" t="n">
        <v>3412</v>
      </c>
      <c r="F35" s="12" t="n">
        <v>1</v>
      </c>
      <c r="G35" s="24">
        <f>$E$35*$F$35</f>
        <v/>
      </c>
    </row>
    <row r="36">
      <c r="A36" s="8" t="inlineStr">
        <is>
          <t>PSO Carient FS</t>
        </is>
      </c>
      <c r="B36" s="8" t="inlineStr">
        <is>
          <t>PCMO</t>
        </is>
      </c>
      <c r="C36" s="8" t="inlineStr">
        <is>
          <t>10W-40</t>
        </is>
      </c>
      <c r="D36" s="12" t="n">
        <v>4</v>
      </c>
      <c r="E36" s="13" t="n">
        <v>1025</v>
      </c>
      <c r="F36" s="12" t="n">
        <v>1</v>
      </c>
      <c r="G36" s="24">
        <f>$E$36*$F$36</f>
        <v/>
      </c>
    </row>
    <row r="37">
      <c r="A37" s="8" t="inlineStr">
        <is>
          <t>PSO Carient Ultra</t>
        </is>
      </c>
      <c r="B37" s="8" t="inlineStr">
        <is>
          <t>PCMO</t>
        </is>
      </c>
      <c r="C37" s="8" t="inlineStr">
        <is>
          <t>0W-20</t>
        </is>
      </c>
      <c r="D37" s="12" t="n">
        <v>1</v>
      </c>
      <c r="E37" s="13" t="n">
        <v>3412</v>
      </c>
      <c r="F37" s="12" t="n">
        <v>1.4</v>
      </c>
      <c r="G37" s="24">
        <f>$E$37*$F$37</f>
        <v/>
      </c>
    </row>
    <row r="38">
      <c r="A38" s="8" t="inlineStr">
        <is>
          <t>PSO Carient Ultra</t>
        </is>
      </c>
      <c r="B38" s="8" t="inlineStr">
        <is>
          <t>PCMO</t>
        </is>
      </c>
      <c r="C38" s="8" t="inlineStr">
        <is>
          <t>5W-20</t>
        </is>
      </c>
      <c r="D38" s="12" t="n">
        <v>1</v>
      </c>
      <c r="E38" s="13" t="n">
        <v>1900</v>
      </c>
      <c r="F38" s="12" t="n">
        <v>1.4</v>
      </c>
      <c r="G38" s="24">
        <f>$E$38*$F$38</f>
        <v/>
      </c>
    </row>
    <row r="39">
      <c r="A39" s="8" t="inlineStr">
        <is>
          <t>PSO Carient Ultra</t>
        </is>
      </c>
      <c r="B39" s="8" t="inlineStr">
        <is>
          <t>PCMO</t>
        </is>
      </c>
      <c r="C39" s="8" t="inlineStr">
        <is>
          <t>5W-30</t>
        </is>
      </c>
      <c r="D39" s="12" t="n">
        <v>1</v>
      </c>
      <c r="E39" s="13" t="n">
        <v>1019</v>
      </c>
      <c r="F39" s="12" t="n">
        <v>1.4</v>
      </c>
      <c r="G39" s="24">
        <f>$E$39*$F$39</f>
        <v/>
      </c>
    </row>
    <row r="40">
      <c r="A40" s="8" t="inlineStr">
        <is>
          <t>PSO Carient Ultra</t>
        </is>
      </c>
      <c r="B40" s="8" t="inlineStr">
        <is>
          <t>PCMO</t>
        </is>
      </c>
      <c r="C40" s="8" t="inlineStr">
        <is>
          <t>5W-40</t>
        </is>
      </c>
      <c r="D40" s="12" t="n">
        <v>1</v>
      </c>
      <c r="E40" s="13" t="n">
        <v>3412</v>
      </c>
      <c r="F40" s="12" t="n">
        <v>1.4</v>
      </c>
      <c r="G40" s="24">
        <f>$E$40*$F$40</f>
        <v/>
      </c>
    </row>
    <row r="41">
      <c r="A41" s="8" t="inlineStr">
        <is>
          <t>PSO Carient Ultra</t>
        </is>
      </c>
      <c r="B41" s="8" t="inlineStr">
        <is>
          <t>PCMO</t>
        </is>
      </c>
      <c r="C41" s="8" t="inlineStr">
        <is>
          <t>0W-20</t>
        </is>
      </c>
      <c r="D41" s="12" t="n">
        <v>3</v>
      </c>
      <c r="E41" s="13" t="n">
        <v>3412</v>
      </c>
      <c r="F41" s="12" t="n">
        <v>1.12</v>
      </c>
      <c r="G41" s="24">
        <f>$E$41*$F$41</f>
        <v/>
      </c>
    </row>
    <row r="42">
      <c r="A42" s="8" t="inlineStr">
        <is>
          <t>PSO Carient Ultra</t>
        </is>
      </c>
      <c r="B42" s="8" t="inlineStr">
        <is>
          <t>PCMO</t>
        </is>
      </c>
      <c r="C42" s="8" t="inlineStr">
        <is>
          <t>5W-20</t>
        </is>
      </c>
      <c r="D42" s="12" t="n">
        <v>3</v>
      </c>
      <c r="E42" s="13" t="n">
        <v>1900</v>
      </c>
      <c r="F42" s="12" t="n">
        <v>1.12</v>
      </c>
      <c r="G42" s="24">
        <f>$E$42*$F$42</f>
        <v/>
      </c>
    </row>
    <row r="43">
      <c r="A43" s="8" t="inlineStr">
        <is>
          <t>PSO Carient Ultra</t>
        </is>
      </c>
      <c r="B43" s="8" t="inlineStr">
        <is>
          <t>PCMO</t>
        </is>
      </c>
      <c r="C43" s="8" t="inlineStr">
        <is>
          <t>5W-30</t>
        </is>
      </c>
      <c r="D43" s="12" t="n">
        <v>3</v>
      </c>
      <c r="E43" s="13" t="n">
        <v>1019</v>
      </c>
      <c r="F43" s="12" t="n">
        <v>1.12</v>
      </c>
      <c r="G43" s="24">
        <f>$E$43*$F$43</f>
        <v/>
      </c>
    </row>
    <row r="44">
      <c r="A44" s="8" t="inlineStr">
        <is>
          <t>PSO Carient Ultra</t>
        </is>
      </c>
      <c r="B44" s="8" t="inlineStr">
        <is>
          <t>PCMO</t>
        </is>
      </c>
      <c r="C44" s="8" t="inlineStr">
        <is>
          <t>5W-40</t>
        </is>
      </c>
      <c r="D44" s="12" t="n">
        <v>3</v>
      </c>
      <c r="E44" s="13" t="n">
        <v>3412</v>
      </c>
      <c r="F44" s="12" t="n">
        <v>1.12</v>
      </c>
      <c r="G44" s="24">
        <f>$E$44*$F$44</f>
        <v/>
      </c>
    </row>
    <row r="45">
      <c r="A45" s="8" t="inlineStr">
        <is>
          <t>PSO Carient Ultra</t>
        </is>
      </c>
      <c r="B45" s="8" t="inlineStr">
        <is>
          <t>PCMO</t>
        </is>
      </c>
      <c r="C45" s="8" t="inlineStr">
        <is>
          <t>0W-20</t>
        </is>
      </c>
      <c r="D45" s="12" t="n">
        <v>4</v>
      </c>
      <c r="E45" s="13" t="n">
        <v>3412</v>
      </c>
      <c r="F45" s="12" t="n">
        <v>1</v>
      </c>
      <c r="G45" s="24">
        <f>$E$45*$F$45</f>
        <v/>
      </c>
    </row>
    <row r="46">
      <c r="A46" s="8" t="inlineStr">
        <is>
          <t>PSO Carient Ultra</t>
        </is>
      </c>
      <c r="B46" s="8" t="inlineStr">
        <is>
          <t>PCMO</t>
        </is>
      </c>
      <c r="C46" s="8" t="inlineStr">
        <is>
          <t>5W-20</t>
        </is>
      </c>
      <c r="D46" s="12" t="n">
        <v>4</v>
      </c>
      <c r="E46" s="13" t="n">
        <v>1900</v>
      </c>
      <c r="F46" s="12" t="n">
        <v>1</v>
      </c>
      <c r="G46" s="24">
        <f>$E$46*$F$46</f>
        <v/>
      </c>
    </row>
    <row r="47">
      <c r="A47" s="8" t="inlineStr">
        <is>
          <t>PSO Carient Ultra</t>
        </is>
      </c>
      <c r="B47" s="8" t="inlineStr">
        <is>
          <t>PCMO</t>
        </is>
      </c>
      <c r="C47" s="8" t="inlineStr">
        <is>
          <t>5W-30</t>
        </is>
      </c>
      <c r="D47" s="12" t="n">
        <v>4</v>
      </c>
      <c r="E47" s="13" t="n">
        <v>1019</v>
      </c>
      <c r="F47" s="12" t="n">
        <v>1</v>
      </c>
      <c r="G47" s="24">
        <f>$E$47*$F$47</f>
        <v/>
      </c>
    </row>
    <row r="48">
      <c r="A48" s="8" t="inlineStr">
        <is>
          <t>PSO Carient Ultra</t>
        </is>
      </c>
      <c r="B48" s="8" t="inlineStr">
        <is>
          <t>PCMO</t>
        </is>
      </c>
      <c r="C48" s="8" t="inlineStr">
        <is>
          <t>5W-40</t>
        </is>
      </c>
      <c r="D48" s="12" t="n">
        <v>4</v>
      </c>
      <c r="E48" s="13" t="n">
        <v>3412</v>
      </c>
      <c r="F48" s="12" t="n">
        <v>1</v>
      </c>
      <c r="G48" s="24">
        <f>$E$48*$F$48</f>
        <v/>
      </c>
    </row>
    <row r="49">
      <c r="A49" s="8" t="inlineStr">
        <is>
          <t>PSO Carient Plus</t>
        </is>
      </c>
      <c r="B49" s="8" t="inlineStr">
        <is>
          <t>PCMO</t>
        </is>
      </c>
      <c r="C49" s="8" t="inlineStr">
        <is>
          <t>10W-40</t>
        </is>
      </c>
      <c r="D49" s="12" t="n">
        <v>1</v>
      </c>
      <c r="E49" s="13" t="n">
        <v>1025</v>
      </c>
      <c r="F49" s="12" t="n">
        <v>1.4</v>
      </c>
      <c r="G49" s="24">
        <f>$E$49*$F$49</f>
        <v/>
      </c>
    </row>
    <row r="50">
      <c r="A50" s="8" t="inlineStr">
        <is>
          <t>PSO Carient Plus</t>
        </is>
      </c>
      <c r="B50" s="8" t="inlineStr">
        <is>
          <t>PCMO</t>
        </is>
      </c>
      <c r="C50" s="8" t="inlineStr">
        <is>
          <t>15W-40</t>
        </is>
      </c>
      <c r="D50" s="12" t="n">
        <v>1</v>
      </c>
      <c r="E50" s="13" t="n">
        <v>1750</v>
      </c>
      <c r="F50" s="12" t="n">
        <v>1.4</v>
      </c>
      <c r="G50" s="24">
        <f>$E$50*$F$50</f>
        <v/>
      </c>
    </row>
    <row r="51">
      <c r="A51" s="8" t="inlineStr">
        <is>
          <t>PSO Carient Plus</t>
        </is>
      </c>
      <c r="B51" s="8" t="inlineStr">
        <is>
          <t>PCMO</t>
        </is>
      </c>
      <c r="C51" s="8" t="inlineStr">
        <is>
          <t>20W-50</t>
        </is>
      </c>
      <c r="D51" s="12" t="n">
        <v>1</v>
      </c>
      <c r="E51" s="13" t="n">
        <v>1025</v>
      </c>
      <c r="F51" s="12" t="n">
        <v>1.4</v>
      </c>
      <c r="G51" s="24">
        <f>$E$51*$F$51</f>
        <v/>
      </c>
    </row>
    <row r="52">
      <c r="A52" s="8" t="inlineStr">
        <is>
          <t>PSO Carient Plus</t>
        </is>
      </c>
      <c r="B52" s="8" t="inlineStr">
        <is>
          <t>PCMO</t>
        </is>
      </c>
      <c r="C52" s="8" t="inlineStr">
        <is>
          <t>10W-40</t>
        </is>
      </c>
      <c r="D52" s="12" t="n">
        <v>3</v>
      </c>
      <c r="E52" s="13" t="n">
        <v>1025</v>
      </c>
      <c r="F52" s="12" t="n">
        <v>1.12</v>
      </c>
      <c r="G52" s="24">
        <f>$E$52*$F$52</f>
        <v/>
      </c>
    </row>
    <row r="53">
      <c r="A53" s="8" t="inlineStr">
        <is>
          <t>PSO Carient Plus</t>
        </is>
      </c>
      <c r="B53" s="8" t="inlineStr">
        <is>
          <t>PCMO</t>
        </is>
      </c>
      <c r="C53" s="8" t="inlineStr">
        <is>
          <t>15W-40</t>
        </is>
      </c>
      <c r="D53" s="12" t="n">
        <v>3</v>
      </c>
      <c r="E53" s="13" t="n">
        <v>1750</v>
      </c>
      <c r="F53" s="12" t="n">
        <v>1.12</v>
      </c>
      <c r="G53" s="24">
        <f>$E$53*$F$53</f>
        <v/>
      </c>
    </row>
    <row r="54">
      <c r="A54" s="8" t="inlineStr">
        <is>
          <t>PSO Carient Plus</t>
        </is>
      </c>
      <c r="B54" s="8" t="inlineStr">
        <is>
          <t>PCMO</t>
        </is>
      </c>
      <c r="C54" s="8" t="inlineStr">
        <is>
          <t>20W-50</t>
        </is>
      </c>
      <c r="D54" s="12" t="n">
        <v>3</v>
      </c>
      <c r="E54" s="13" t="n">
        <v>1025</v>
      </c>
      <c r="F54" s="12" t="n">
        <v>1.12</v>
      </c>
      <c r="G54" s="24">
        <f>$E$54*$F$54</f>
        <v/>
      </c>
    </row>
    <row r="55">
      <c r="A55" s="8" t="inlineStr">
        <is>
          <t>PSO Carient Plus</t>
        </is>
      </c>
      <c r="B55" s="8" t="inlineStr">
        <is>
          <t>PCMO</t>
        </is>
      </c>
      <c r="C55" s="8" t="inlineStr">
        <is>
          <t>10W-40</t>
        </is>
      </c>
      <c r="D55" s="12" t="n">
        <v>4</v>
      </c>
      <c r="E55" s="13" t="n">
        <v>1025</v>
      </c>
      <c r="F55" s="12" t="n">
        <v>1</v>
      </c>
      <c r="G55" s="24">
        <f>$E$55*$F$55</f>
        <v/>
      </c>
    </row>
    <row r="56">
      <c r="A56" s="8" t="inlineStr">
        <is>
          <t>PSO Carient Plus</t>
        </is>
      </c>
      <c r="B56" s="8" t="inlineStr">
        <is>
          <t>PCMO</t>
        </is>
      </c>
      <c r="C56" s="8" t="inlineStr">
        <is>
          <t>15W-40</t>
        </is>
      </c>
      <c r="D56" s="12" t="n">
        <v>4</v>
      </c>
      <c r="E56" s="13" t="n">
        <v>1750</v>
      </c>
      <c r="F56" s="12" t="n">
        <v>1</v>
      </c>
      <c r="G56" s="24">
        <f>$E$56*$F$56</f>
        <v/>
      </c>
    </row>
    <row r="57">
      <c r="A57" s="8" t="inlineStr">
        <is>
          <t>PSO Carient Plus</t>
        </is>
      </c>
      <c r="B57" s="8" t="inlineStr">
        <is>
          <t>PCMO</t>
        </is>
      </c>
      <c r="C57" s="8" t="inlineStr">
        <is>
          <t>20W-50</t>
        </is>
      </c>
      <c r="D57" s="12" t="n">
        <v>4</v>
      </c>
      <c r="E57" s="13" t="n">
        <v>1025</v>
      </c>
      <c r="F57" s="12" t="n">
        <v>1</v>
      </c>
      <c r="G57" s="24">
        <f>$E$57*$F$57</f>
        <v/>
      </c>
    </row>
    <row r="58">
      <c r="A58" s="8" t="inlineStr">
        <is>
          <t>PSO Blaze 4T</t>
        </is>
      </c>
      <c r="B58" s="8" t="inlineStr">
        <is>
          <t>MCO</t>
        </is>
      </c>
      <c r="C58" s="8" t="inlineStr">
        <is>
          <t>10W-40</t>
        </is>
      </c>
      <c r="D58" s="12" t="n">
        <v>1</v>
      </c>
      <c r="E58" s="13" t="n">
        <v>1025</v>
      </c>
      <c r="F58" s="12" t="n">
        <v>1.4</v>
      </c>
      <c r="G58" s="24">
        <f>$E$58*$F$58</f>
        <v/>
      </c>
    </row>
    <row r="59">
      <c r="A59" s="8" t="inlineStr">
        <is>
          <t>PSO Blaze 4T</t>
        </is>
      </c>
      <c r="B59" s="8" t="inlineStr">
        <is>
          <t>MCO</t>
        </is>
      </c>
      <c r="C59" s="8" t="inlineStr">
        <is>
          <t>20W-50</t>
        </is>
      </c>
      <c r="D59" s="12" t="n">
        <v>1</v>
      </c>
      <c r="E59" s="13" t="n">
        <v>1025</v>
      </c>
      <c r="F59" s="12" t="n">
        <v>1.4</v>
      </c>
      <c r="G59" s="24">
        <f>$E$59*$F$59</f>
        <v/>
      </c>
    </row>
    <row r="60">
      <c r="A60" s="8" t="inlineStr">
        <is>
          <t>PSO Blaze 4T</t>
        </is>
      </c>
      <c r="B60" s="8" t="inlineStr">
        <is>
          <t>MCO</t>
        </is>
      </c>
      <c r="C60" s="8" t="inlineStr">
        <is>
          <t>10W-40</t>
        </is>
      </c>
      <c r="D60" s="12" t="n">
        <v>0.7</v>
      </c>
      <c r="E60" s="13" t="n">
        <v>1025</v>
      </c>
      <c r="F60" s="12" t="n">
        <v>1</v>
      </c>
      <c r="G60" s="24">
        <f>$E$60*$F$60</f>
        <v/>
      </c>
    </row>
    <row r="61">
      <c r="A61" s="8" t="inlineStr">
        <is>
          <t>PSO Blaze 4T</t>
        </is>
      </c>
      <c r="B61" s="8" t="inlineStr">
        <is>
          <t>MCO</t>
        </is>
      </c>
      <c r="C61" s="8" t="inlineStr">
        <is>
          <t>20W-50</t>
        </is>
      </c>
      <c r="D61" s="12" t="n">
        <v>0.7</v>
      </c>
      <c r="E61" s="13" t="n">
        <v>1025</v>
      </c>
      <c r="F61" s="12" t="n">
        <v>1</v>
      </c>
      <c r="G61" s="24">
        <f>$E$61*$F$61</f>
        <v/>
      </c>
    </row>
    <row r="62">
      <c r="A62" s="8" t="inlineStr">
        <is>
          <t>PSO Blaze Xtreme</t>
        </is>
      </c>
      <c r="B62" s="8" t="inlineStr">
        <is>
          <t>MCO</t>
        </is>
      </c>
      <c r="C62" s="8" t="inlineStr">
        <is>
          <t>10W-40</t>
        </is>
      </c>
      <c r="D62" s="12" t="n">
        <v>1</v>
      </c>
      <c r="E62" s="13" t="n">
        <v>1025</v>
      </c>
      <c r="F62" s="12" t="n">
        <v>1.4</v>
      </c>
      <c r="G62" s="24">
        <f>$E$62*$F$62</f>
        <v/>
      </c>
    </row>
    <row r="63">
      <c r="A63" s="8" t="inlineStr">
        <is>
          <t>PSO DEO 3000</t>
        </is>
      </c>
      <c r="B63" s="8" t="inlineStr">
        <is>
          <t>HDEO</t>
        </is>
      </c>
      <c r="C63" s="8" t="inlineStr">
        <is>
          <t>15W-40</t>
        </is>
      </c>
      <c r="D63" s="12" t="n">
        <v>4</v>
      </c>
      <c r="E63" s="13" t="n">
        <v>1750</v>
      </c>
      <c r="F63" s="12" t="n">
        <v>1</v>
      </c>
      <c r="G63" s="24">
        <f>$E$63*$F$63</f>
        <v/>
      </c>
    </row>
    <row r="64">
      <c r="A64" s="8" t="inlineStr">
        <is>
          <t>PSO DEO 3000</t>
        </is>
      </c>
      <c r="B64" s="8" t="inlineStr">
        <is>
          <t>HDEO</t>
        </is>
      </c>
      <c r="C64" s="8" t="inlineStr">
        <is>
          <t>20W-50</t>
        </is>
      </c>
      <c r="D64" s="12" t="n">
        <v>4</v>
      </c>
      <c r="E64" s="13" t="n">
        <v>1025</v>
      </c>
      <c r="F64" s="12" t="n">
        <v>1</v>
      </c>
      <c r="G64" s="24">
        <f>$E$64*$F$64</f>
        <v/>
      </c>
    </row>
    <row r="65">
      <c r="A65" s="8" t="inlineStr">
        <is>
          <t>PSO DEO 6000</t>
        </is>
      </c>
      <c r="B65" s="8" t="inlineStr">
        <is>
          <t>HDEO</t>
        </is>
      </c>
      <c r="C65" s="8" t="inlineStr">
        <is>
          <t>15W-40</t>
        </is>
      </c>
      <c r="D65" s="12" t="n">
        <v>1</v>
      </c>
      <c r="E65" s="13" t="n">
        <v>1750</v>
      </c>
      <c r="F65" s="12" t="n">
        <v>1.4</v>
      </c>
      <c r="G65" s="24">
        <f>$E$65*$F$65</f>
        <v/>
      </c>
    </row>
    <row r="66">
      <c r="A66" s="8" t="inlineStr">
        <is>
          <t>PSO DEO 6000</t>
        </is>
      </c>
      <c r="B66" s="8" t="inlineStr">
        <is>
          <t>HDEO</t>
        </is>
      </c>
      <c r="C66" s="8" t="inlineStr">
        <is>
          <t>15W-40</t>
        </is>
      </c>
      <c r="D66" s="12" t="n">
        <v>4</v>
      </c>
      <c r="E66" s="13" t="n">
        <v>1750</v>
      </c>
      <c r="F66" s="12" t="n">
        <v>1</v>
      </c>
      <c r="G66" s="24">
        <f>$E$66*$F$66</f>
        <v/>
      </c>
    </row>
    <row r="67">
      <c r="A67" s="8" t="inlineStr">
        <is>
          <t>PSO DEO 8000</t>
        </is>
      </c>
      <c r="B67" s="8" t="inlineStr">
        <is>
          <t>HDEO</t>
        </is>
      </c>
      <c r="C67" s="8" t="inlineStr">
        <is>
          <t>10W-40</t>
        </is>
      </c>
      <c r="D67" s="12" t="n">
        <v>1</v>
      </c>
      <c r="E67" s="13" t="n">
        <v>1025</v>
      </c>
      <c r="F67" s="12" t="n">
        <v>1.4</v>
      </c>
      <c r="G67" s="24">
        <f>$E$67*$F$67</f>
        <v/>
      </c>
    </row>
    <row r="68">
      <c r="A68" s="8" t="inlineStr">
        <is>
          <t>PSO DEO 8000</t>
        </is>
      </c>
      <c r="B68" s="8" t="inlineStr">
        <is>
          <t>HDEO</t>
        </is>
      </c>
      <c r="C68" s="8" t="inlineStr">
        <is>
          <t>15W-40</t>
        </is>
      </c>
      <c r="D68" s="12" t="n">
        <v>1</v>
      </c>
      <c r="E68" s="13" t="n">
        <v>1750</v>
      </c>
      <c r="F68" s="12" t="n">
        <v>1.4</v>
      </c>
      <c r="G68" s="24">
        <f>$E$68*$F$68</f>
        <v/>
      </c>
    </row>
    <row r="69">
      <c r="A69" s="8" t="inlineStr">
        <is>
          <t>PSO DEO 8000</t>
        </is>
      </c>
      <c r="B69" s="8" t="inlineStr">
        <is>
          <t>HDEO</t>
        </is>
      </c>
      <c r="C69" s="8" t="inlineStr">
        <is>
          <t>10W-40</t>
        </is>
      </c>
      <c r="D69" s="12" t="n">
        <v>4</v>
      </c>
      <c r="E69" s="13" t="n">
        <v>1025</v>
      </c>
      <c r="F69" s="12" t="n">
        <v>1</v>
      </c>
      <c r="G69" s="24">
        <f>$E$69*$F$69</f>
        <v/>
      </c>
    </row>
    <row r="70">
      <c r="A70" s="8" t="inlineStr">
        <is>
          <t>PSO DEO 8000</t>
        </is>
      </c>
      <c r="B70" s="8" t="inlineStr">
        <is>
          <t>HDEO</t>
        </is>
      </c>
      <c r="C70" s="8" t="inlineStr">
        <is>
          <t>15W-40</t>
        </is>
      </c>
      <c r="D70" s="12" t="n">
        <v>4</v>
      </c>
      <c r="E70" s="13" t="n">
        <v>1750</v>
      </c>
      <c r="F70" s="12" t="n">
        <v>1</v>
      </c>
      <c r="G70" s="24">
        <f>$E$70*$F$70</f>
        <v/>
      </c>
    </row>
    <row r="71">
      <c r="A71" s="8" t="inlineStr">
        <is>
          <t>PSO DEO Max</t>
        </is>
      </c>
      <c r="B71" s="8" t="inlineStr">
        <is>
          <t>HDEO</t>
        </is>
      </c>
      <c r="C71" s="8" t="inlineStr">
        <is>
          <t>10W-40</t>
        </is>
      </c>
      <c r="D71" s="12" t="n">
        <v>4</v>
      </c>
      <c r="E71" s="13" t="n">
        <v>1025</v>
      </c>
      <c r="F71" s="12" t="n">
        <v>1</v>
      </c>
      <c r="G71" s="24">
        <f>$E$71*$F$71</f>
        <v/>
      </c>
    </row>
    <row r="72">
      <c r="A72" s="8" t="inlineStr">
        <is>
          <t>PSO DEO Max</t>
        </is>
      </c>
      <c r="B72" s="8" t="inlineStr">
        <is>
          <t>HDEO</t>
        </is>
      </c>
      <c r="C72" s="8" t="inlineStr">
        <is>
          <t>15W-40</t>
        </is>
      </c>
      <c r="D72" s="12" t="n">
        <v>4</v>
      </c>
      <c r="E72" s="13" t="n">
        <v>1750</v>
      </c>
      <c r="F72" s="12" t="n">
        <v>1</v>
      </c>
      <c r="G72" s="24">
        <f>$E$72*$F$72</f>
        <v/>
      </c>
    </row>
    <row r="73">
      <c r="A73" s="8" t="inlineStr">
        <is>
          <t>PSO Dieselube</t>
        </is>
      </c>
      <c r="B73" s="8" t="inlineStr">
        <is>
          <t>HDEO</t>
        </is>
      </c>
      <c r="C73" s="8" t="inlineStr">
        <is>
          <t>15W-40</t>
        </is>
      </c>
      <c r="D73" s="12" t="n">
        <v>4</v>
      </c>
      <c r="E73" s="13" t="n">
        <v>1750</v>
      </c>
      <c r="F73" s="12" t="n">
        <v>1</v>
      </c>
      <c r="G73" s="24">
        <f>$E$73*$F$73</f>
        <v/>
      </c>
    </row>
    <row r="74">
      <c r="A74" s="8" t="inlineStr">
        <is>
          <t>PSO Dieselube</t>
        </is>
      </c>
      <c r="B74" s="8" t="inlineStr">
        <is>
          <t>HDEO</t>
        </is>
      </c>
      <c r="C74" s="8" t="inlineStr">
        <is>
          <t>20W-50</t>
        </is>
      </c>
      <c r="D74" s="12" t="n">
        <v>4</v>
      </c>
      <c r="E74" s="13" t="n">
        <v>1025</v>
      </c>
      <c r="F74" s="12" t="n">
        <v>1</v>
      </c>
      <c r="G74" s="24">
        <f>$E$74*$F$74</f>
        <v/>
      </c>
    </row>
    <row r="75" ht="10" customHeight="1"/>
    <row r="76" ht="17" customHeight="1">
      <c r="A76" s="25" t="inlineStr">
        <is>
          <t>HOW IT WORKS</t>
        </is>
      </c>
    </row>
    <row r="77" ht="104" customHeight="1">
      <c r="A77" s="26" t="inlineStr">
        <is>
          <t xml:space="preserve">  *  Designates the 4L pack as the anchor (multiplier = 1.00x). All other pack sizes carry a multiplier relative to 4L anchor price per litre.
  *  The 4L market median (from competitor data for each grade) is the anchor price/L.
  *  Each pack size price = 4L anchor x PPA multiplier. Example: 1L pack = 4L anchor x 1.40 (40% premium per litre).
  *  Multipliers derived from international retail lubricants practice: smaller packs = convenience premium, larger packs = bulk discount.</t>
        </is>
      </c>
    </row>
    <row r="78" ht="5" customHeight="1"/>
    <row r="79" ht="17" customHeight="1">
      <c r="A79" s="3" t="inlineStr">
        <is>
          <t>RATIONALE  --  Why this framework is used</t>
        </is>
      </c>
    </row>
    <row r="80" ht="117" customHeight="1">
      <c r="A80" s="27" t="inlineStr">
        <is>
          <t xml:space="preserve">  *  Without a structured PPA, brands accidentally price 1L packs lower per litre than 3L, confusing price-aware buyers who calculate unit costs.
  *  The 1L premium (40% above 4L per litre) is justified by: single engine-change convenience, retail display slot cost, impulse-purchase pricing, and high turnover at petrol station forecourts.
  *  A consistent price ladder prevents pack cannibalism: if 3L packs were priced at par with 4L per litre, buyers would always choose 3L, destroying 4L volumes and margin.
  *  PSO's range spans 1L to 4L across same brand/grade. Buyers comparing cross-pack will notice inconsistency, and it damages credibility.</t>
        </is>
      </c>
    </row>
    <row r="81" ht="5" customHeight="1"/>
    <row r="82" ht="17" customHeight="1">
      <c r="A82" s="28" t="inlineStr">
        <is>
          <t>IMPLICATIONS  --  What this means for PSO pricing decisions</t>
        </is>
      </c>
    </row>
    <row r="83" ht="117" customHeight="1">
      <c r="A83" s="29" t="inlineStr">
        <is>
          <t xml:space="preserve">  *  Biggest revenue opportunity: 1L PCMO pack at petrol stations, where buyers are least price-sensitive and most convenience-driven. The 40% per-litre premium is fully justifiable and should be enforced.
  *  Review current 1L and 3L price points against the PPA ladder. The next list price revision is the right moment to re-anchor the entire range.
  *  Any new pack size launch (e.g., 800ml sachet) must have its PPA multiplier defined BEFORE launch. Without pre-setting the multiplier, the new pack will almost certainly be mispriced.
  *  For MCO (motorcycle oil), the 1L pack dominates sales. The 1.40x multiplier should be enforced -- MCO buyers are highly brand-loyal once a workshop mechanic recommends a product.</t>
        </is>
      </c>
    </row>
  </sheetData>
  <mergeCells count="11">
    <mergeCell ref="A1:G1"/>
    <mergeCell ref="A80:G80"/>
    <mergeCell ref="A18:G18"/>
    <mergeCell ref="A79:G79"/>
    <mergeCell ref="A77:G77"/>
    <mergeCell ref="A83:G83"/>
    <mergeCell ref="A4:G4"/>
    <mergeCell ref="A2:G2"/>
    <mergeCell ref="A82:G82"/>
    <mergeCell ref="A76:G76"/>
    <mergeCell ref="A28:G2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89"/>
  <sheetViews>
    <sheetView workbookViewId="0">
      <pane ySplit="13" topLeftCell="A14" activePane="bottomLeft" state="frozen"/>
      <selection pane="bottomLeft" activeCell="A1" sqref="A1"/>
    </sheetView>
  </sheetViews>
  <sheetFormatPr baseColWidth="8" defaultRowHeight="15"/>
  <cols>
    <col width="26" customWidth="1" min="1" max="1"/>
    <col width="8" customWidth="1" min="2" max="2"/>
    <col width="8" customWidth="1" min="3" max="3"/>
    <col width="15" customWidth="1" min="4" max="4"/>
    <col width="10" customWidth="1" min="5" max="5"/>
    <col width="10" customWidth="1" min="6" max="6"/>
    <col width="8" customWidth="1" min="7" max="7"/>
    <col width="12" customWidth="1" min="8" max="8"/>
    <col width="13" customWidth="1" min="9" max="9"/>
    <col width="13" customWidth="1" min="10" max="10"/>
    <col width="12" customWidth="1" min="11" max="11"/>
    <col width="16" customWidth="1" min="12" max="12"/>
  </cols>
  <sheetData>
    <row r="1" ht="28" customHeight="1">
      <c r="A1" s="10" t="inlineStr">
        <is>
          <t>F4 -- McKINSEY PRICE WATERFALL  (Hard Floor Constraint)</t>
        </is>
      </c>
    </row>
    <row r="2" ht="50" customHeight="1">
      <c r="A2" s="2" t="inlineStr">
        <is>
          <t>Calculates the minimum viable list price from cost structure upward. NOT a pricing target -- a hard floor. If F1/F2/F3 synthesis falls below F4, the recommendation is raised to F4. FORMULA: Pocket Floor = Total_Cost / (1 - Margin%)  --&gt;  List Floor = Pocket / (1 - 20%)</t>
        </is>
      </c>
    </row>
    <row r="3" ht="8" customHeight="1"/>
    <row r="4" ht="18" customHeight="1">
      <c r="A4" s="3" t="inlineStr">
        <is>
          <t>PARAMETER TABLE 1 -- Base Oil Cost by Group (PKR/L, Pakistan import parity 2025)</t>
        </is>
      </c>
    </row>
    <row r="5" ht="17" customHeight="1">
      <c r="A5" s="4" t="inlineStr">
        <is>
          <t>Base Oil Group</t>
        </is>
      </c>
      <c r="B5" s="4" t="inlineStr">
        <is>
          <t>Cost (PKR/L)</t>
        </is>
      </c>
      <c r="C5" s="4" t="inlineStr">
        <is>
          <t>Typical Grades</t>
        </is>
      </c>
      <c r="D5" s="4" t="inlineStr">
        <is>
          <t>Source</t>
        </is>
      </c>
    </row>
    <row r="6">
      <c r="A6" s="7" t="inlineStr">
        <is>
          <t>Group I</t>
        </is>
      </c>
      <c r="B6" s="13" t="n">
        <v>280</v>
      </c>
      <c r="C6" s="8" t="inlineStr">
        <is>
          <t>20W-50</t>
        </is>
      </c>
      <c r="D6" s="8" t="inlineStr">
        <is>
          <t>SN150/BS150 -- mainly domestic</t>
        </is>
      </c>
    </row>
    <row r="7">
      <c r="A7" s="7" t="inlineStr">
        <is>
          <t>Group II</t>
        </is>
      </c>
      <c r="B7" s="13" t="n">
        <v>420</v>
      </c>
      <c r="C7" s="8" t="inlineStr">
        <is>
          <t>10W-30, 10W-40, 15W-40</t>
        </is>
      </c>
      <c r="D7" s="8" t="inlineStr">
        <is>
          <t>VHVI -- Korean/Middle East import</t>
        </is>
      </c>
    </row>
    <row r="8">
      <c r="A8" s="7" t="inlineStr">
        <is>
          <t>Group III</t>
        </is>
      </c>
      <c r="B8" s="13" t="n">
        <v>680</v>
      </c>
      <c r="C8" s="8" t="inlineStr">
        <is>
          <t>0W-20, 5W-20, 5W-30, 5W-40</t>
        </is>
      </c>
      <c r="D8" s="8" t="inlineStr">
        <is>
          <t>PAO/GTL -- European/Korean import</t>
        </is>
      </c>
    </row>
    <row r="9" ht="8" customHeight="1"/>
    <row r="10" ht="18" customHeight="1">
      <c r="A10" s="3" t="inlineStr">
        <is>
          <t>PARAMETER TABLE 2 -- Additive Package Cost by Grade (PKR/L)</t>
        </is>
      </c>
    </row>
    <row r="11" ht="17" customHeight="1">
      <c r="A11" s="4" t="inlineStr">
        <is>
          <t>Grade</t>
        </is>
      </c>
      <c r="B11" s="4" t="inlineStr">
        <is>
          <t>Base Oil Group</t>
        </is>
      </c>
      <c r="C11" s="4" t="inlineStr">
        <is>
          <t>Additive Cost (PKR/L)</t>
        </is>
      </c>
      <c r="D11" s="4" t="inlineStr">
        <is>
          <t>Notes</t>
        </is>
      </c>
    </row>
    <row r="12">
      <c r="A12" s="8" t="inlineStr">
        <is>
          <t>0W-20</t>
        </is>
      </c>
      <c r="B12" s="8" t="inlineStr">
        <is>
          <t>Group III</t>
        </is>
      </c>
      <c r="C12" s="13" t="n">
        <v>320</v>
      </c>
      <c r="D12" s="8" t="inlineStr">
        <is>
          <t>ACEA A5/SN+ -- expensive DI package</t>
        </is>
      </c>
    </row>
    <row r="13">
      <c r="A13" s="8" t="inlineStr">
        <is>
          <t>5W-20</t>
        </is>
      </c>
      <c r="B13" s="8" t="inlineStr">
        <is>
          <t>Group III</t>
        </is>
      </c>
      <c r="C13" s="13" t="n">
        <v>300</v>
      </c>
      <c r="D13" s="8" t="inlineStr">
        <is>
          <t>ACEA A5/SN+ -- expensive DI package</t>
        </is>
      </c>
    </row>
    <row r="14">
      <c r="A14" s="8" t="inlineStr">
        <is>
          <t>5W-30</t>
        </is>
      </c>
      <c r="B14" s="8" t="inlineStr">
        <is>
          <t>Group III</t>
        </is>
      </c>
      <c r="C14" s="13" t="n">
        <v>280</v>
      </c>
      <c r="D14" s="8" t="inlineStr">
        <is>
          <t>ACEA A5/SN+ -- expensive DI package</t>
        </is>
      </c>
    </row>
    <row r="15">
      <c r="A15" s="8" t="inlineStr">
        <is>
          <t>5W-40</t>
        </is>
      </c>
      <c r="B15" s="8" t="inlineStr">
        <is>
          <t>Group III</t>
        </is>
      </c>
      <c r="C15" s="13" t="n">
        <v>260</v>
      </c>
      <c r="D15" s="8" t="inlineStr">
        <is>
          <t>ACEA A5/SN+ -- expensive DI package</t>
        </is>
      </c>
    </row>
    <row r="16">
      <c r="A16" s="8" t="inlineStr">
        <is>
          <t>10W-30</t>
        </is>
      </c>
      <c r="B16" s="8" t="inlineStr">
        <is>
          <t>Group II</t>
        </is>
      </c>
      <c r="C16" s="13" t="n">
        <v>160</v>
      </c>
      <c r="D16" s="8" t="inlineStr">
        <is>
          <t>SN/SL additive package</t>
        </is>
      </c>
    </row>
    <row r="17">
      <c r="A17" s="8" t="inlineStr">
        <is>
          <t>10W-40</t>
        </is>
      </c>
      <c r="B17" s="8" t="inlineStr">
        <is>
          <t>Group II</t>
        </is>
      </c>
      <c r="C17" s="13" t="n">
        <v>140</v>
      </c>
      <c r="D17" s="8" t="inlineStr">
        <is>
          <t>SN/SL additive package</t>
        </is>
      </c>
    </row>
    <row r="18">
      <c r="A18" s="8" t="inlineStr">
        <is>
          <t>15W-40</t>
        </is>
      </c>
      <c r="B18" s="8" t="inlineStr">
        <is>
          <t>Group II</t>
        </is>
      </c>
      <c r="C18" s="13" t="n">
        <v>120</v>
      </c>
      <c r="D18" s="8" t="inlineStr">
        <is>
          <t>SN/SL additive package</t>
        </is>
      </c>
    </row>
    <row r="19">
      <c r="A19" s="8" t="inlineStr">
        <is>
          <t>20W-50</t>
        </is>
      </c>
      <c r="B19" s="8" t="inlineStr">
        <is>
          <t>Group I</t>
        </is>
      </c>
      <c r="C19" s="13" t="n">
        <v>90</v>
      </c>
      <c r="D19" s="8" t="inlineStr">
        <is>
          <t>SM/SL economy additive</t>
        </is>
      </c>
    </row>
    <row r="20" ht="8" customHeight="1"/>
    <row r="21" ht="18" customHeight="1">
      <c r="A21" s="3" t="inlineStr">
        <is>
          <t>PARAMETER TABLE 3 -- Packaging Cost by Pack Size (PKR/L)</t>
        </is>
      </c>
    </row>
    <row r="22" ht="17" customHeight="1">
      <c r="A22" s="4" t="inlineStr">
        <is>
          <t>Pack Size</t>
        </is>
      </c>
      <c r="B22" s="4" t="inlineStr">
        <is>
          <t>Pkg Cost (PKR/L)</t>
        </is>
      </c>
      <c r="C22" s="4" t="inlineStr">
        <is>
          <t>Rationale</t>
        </is>
      </c>
    </row>
    <row r="23">
      <c r="A23" s="8" t="inlineStr">
        <is>
          <t>&lt;=1L</t>
        </is>
      </c>
      <c r="B23" s="13" t="n">
        <v>60</v>
      </c>
      <c r="C23" s="8" t="inlineStr">
        <is>
          <t>Small packs -- higher per-L moulding &amp; labelling cost</t>
        </is>
      </c>
    </row>
    <row r="24">
      <c r="A24" s="8" t="inlineStr">
        <is>
          <t>1L-5L</t>
        </is>
      </c>
      <c r="B24" s="13" t="n">
        <v>35</v>
      </c>
      <c r="C24" s="8" t="inlineStr">
        <is>
          <t>Standard HDPE bottle</t>
        </is>
      </c>
    </row>
    <row r="25">
      <c r="A25" s="8" t="inlineStr">
        <is>
          <t>&gt;5L drum</t>
        </is>
      </c>
      <c r="B25" s="13" t="n">
        <v>20</v>
      </c>
      <c r="C25" s="8" t="inlineStr">
        <is>
          <t>Drum / gallon -- lower per-L container cost</t>
        </is>
      </c>
    </row>
    <row r="26" ht="8" customHeight="1"/>
    <row r="27" ht="18" customHeight="1">
      <c r="A27" s="3" t="inlineStr">
        <is>
          <t>PARAMETER TABLE 4 -- Gross Margin Targets by Tier</t>
        </is>
      </c>
    </row>
    <row r="28" ht="17" customHeight="1">
      <c r="A28" s="4" t="inlineStr">
        <is>
          <t>Tier</t>
        </is>
      </c>
      <c r="B28" s="4" t="inlineStr">
        <is>
          <t>Target Pocket Margin %</t>
        </is>
      </c>
      <c r="C28" s="4" t="inlineStr">
        <is>
          <t>Rationale</t>
        </is>
      </c>
    </row>
    <row r="29">
      <c r="A29" s="7" t="inlineStr">
        <is>
          <t>Super Premium</t>
        </is>
      </c>
      <c r="B29" s="23" t="n">
        <v>0.45</v>
      </c>
      <c r="C29" s="8" t="inlineStr">
        <is>
          <t>Fully synthetic -- high spec, brand premium, lower vol --&gt; needs 45% to fund A&amp;P</t>
        </is>
      </c>
    </row>
    <row r="30">
      <c r="A30" s="7" t="inlineStr">
        <is>
          <t>Premium</t>
        </is>
      </c>
      <c r="B30" s="23" t="n">
        <v>0.38</v>
      </c>
      <c r="C30" s="8" t="inlineStr">
        <is>
          <t>Semi-synthetic -- balanced vol/value, 38% industry norm for mid-tier</t>
        </is>
      </c>
    </row>
    <row r="31">
      <c r="A31" s="7" t="inlineStr">
        <is>
          <t>Mainstream</t>
        </is>
      </c>
      <c r="B31" s="23" t="n">
        <v>0.3</v>
      </c>
      <c r="C31" s="8" t="inlineStr">
        <is>
          <t>Mineral + partial synthetic -- volume-driven, 30% sustains distribution margin</t>
        </is>
      </c>
    </row>
    <row r="32">
      <c r="A32" s="7" t="inlineStr">
        <is>
          <t>Economy</t>
        </is>
      </c>
      <c r="B32" s="23" t="n">
        <v>0.22</v>
      </c>
      <c r="C32" s="8" t="inlineStr">
        <is>
          <t>Commodity mineral -- price-led, 22% floor preserves channel viability</t>
        </is>
      </c>
    </row>
    <row r="33" ht="8" customHeight="1"/>
    <row r="34" ht="18" customHeight="1">
      <c r="A34" s="3" t="inlineStr">
        <is>
          <t>WATERFALL CALCULATION -- per PSO SKU</t>
        </is>
      </c>
    </row>
    <row r="35" ht="17" customHeight="1">
      <c r="A35" s="4" t="inlineStr">
        <is>
          <t>Brand</t>
        </is>
      </c>
      <c r="B35" s="4" t="inlineStr">
        <is>
          <t>Grade</t>
        </is>
      </c>
      <c r="C35" s="4" t="inlineStr">
        <is>
          <t>Pack (L)</t>
        </is>
      </c>
      <c r="D35" s="4" t="inlineStr">
        <is>
          <t>Tier</t>
        </is>
      </c>
      <c r="E35" s="4" t="inlineStr">
        <is>
          <t>BO Cost</t>
        </is>
      </c>
      <c r="F35" s="4" t="inlineStr">
        <is>
          <t>Additive</t>
        </is>
      </c>
      <c r="G35" s="4" t="inlineStr">
        <is>
          <t>Pkg</t>
        </is>
      </c>
      <c r="H35" s="4" t="inlineStr">
        <is>
          <t>Total Cost</t>
        </is>
      </c>
      <c r="I35" s="4" t="inlineStr">
        <is>
          <t>Target Margin</t>
        </is>
      </c>
      <c r="J35" s="4" t="inlineStr">
        <is>
          <t>Pocket Floor</t>
        </is>
      </c>
      <c r="K35" s="4" t="inlineStr">
        <is>
          <t>Fleet Disc</t>
        </is>
      </c>
      <c r="L35" s="4" t="inlineStr">
        <is>
          <t>List FLOOR</t>
        </is>
      </c>
    </row>
    <row r="36">
      <c r="A36" s="8" t="inlineStr">
        <is>
          <t>PSO Carient SPRO</t>
        </is>
      </c>
      <c r="B36" s="8" t="inlineStr">
        <is>
          <t>15W-40</t>
        </is>
      </c>
      <c r="C36" s="12" t="n">
        <v>3</v>
      </c>
      <c r="D36" s="8" t="inlineStr">
        <is>
          <t>Economy</t>
        </is>
      </c>
      <c r="E36" s="13" t="n">
        <v>420</v>
      </c>
      <c r="F36" s="13" t="n">
        <v>120</v>
      </c>
      <c r="G36" s="13" t="n">
        <v>35</v>
      </c>
      <c r="H36" s="24">
        <f>$E$36+$F$36+$G$36</f>
        <v/>
      </c>
      <c r="I36" s="23" t="n">
        <v>0.22</v>
      </c>
      <c r="J36" s="24">
        <f>$H$36/(1-$I$36)</f>
        <v/>
      </c>
      <c r="K36" s="23" t="n">
        <v>0.2</v>
      </c>
      <c r="L36" s="33">
        <f>$J$36/(1-$K$36)</f>
        <v/>
      </c>
    </row>
    <row r="37">
      <c r="A37" s="8" t="inlineStr">
        <is>
          <t>PSO Carient SPRO</t>
        </is>
      </c>
      <c r="B37" s="8" t="inlineStr">
        <is>
          <t>20W-50</t>
        </is>
      </c>
      <c r="C37" s="12" t="n">
        <v>3</v>
      </c>
      <c r="D37" s="8" t="inlineStr">
        <is>
          <t>Economy</t>
        </is>
      </c>
      <c r="E37" s="13" t="n">
        <v>280</v>
      </c>
      <c r="F37" s="13" t="n">
        <v>90</v>
      </c>
      <c r="G37" s="13" t="n">
        <v>35</v>
      </c>
      <c r="H37" s="24">
        <f>$E$37+$F$37+$G$37</f>
        <v/>
      </c>
      <c r="I37" s="23" t="n">
        <v>0.22</v>
      </c>
      <c r="J37" s="24">
        <f>$H$37/(1-$I$37)</f>
        <v/>
      </c>
      <c r="K37" s="23" t="n">
        <v>0.2</v>
      </c>
      <c r="L37" s="33">
        <f>$J$37/(1-$K$37)</f>
        <v/>
      </c>
    </row>
    <row r="38">
      <c r="A38" s="8" t="inlineStr">
        <is>
          <t>PSO Carient SPRO</t>
        </is>
      </c>
      <c r="B38" s="8" t="inlineStr">
        <is>
          <t>15W-40</t>
        </is>
      </c>
      <c r="C38" s="12" t="n">
        <v>4</v>
      </c>
      <c r="D38" s="8" t="inlineStr">
        <is>
          <t>Economy</t>
        </is>
      </c>
      <c r="E38" s="13" t="n">
        <v>420</v>
      </c>
      <c r="F38" s="13" t="n">
        <v>120</v>
      </c>
      <c r="G38" s="13" t="n">
        <v>35</v>
      </c>
      <c r="H38" s="24">
        <f>$E$38+$F$38+$G$38</f>
        <v/>
      </c>
      <c r="I38" s="23" t="n">
        <v>0.22</v>
      </c>
      <c r="J38" s="24">
        <f>$H$38/(1-$I$38)</f>
        <v/>
      </c>
      <c r="K38" s="23" t="n">
        <v>0.2</v>
      </c>
      <c r="L38" s="33">
        <f>$J$38/(1-$K$38)</f>
        <v/>
      </c>
    </row>
    <row r="39">
      <c r="A39" s="8" t="inlineStr">
        <is>
          <t>PSO Carient SPRO</t>
        </is>
      </c>
      <c r="B39" s="8" t="inlineStr">
        <is>
          <t>20W-50</t>
        </is>
      </c>
      <c r="C39" s="12" t="n">
        <v>4</v>
      </c>
      <c r="D39" s="8" t="inlineStr">
        <is>
          <t>Economy</t>
        </is>
      </c>
      <c r="E39" s="13" t="n">
        <v>280</v>
      </c>
      <c r="F39" s="13" t="n">
        <v>90</v>
      </c>
      <c r="G39" s="13" t="n">
        <v>35</v>
      </c>
      <c r="H39" s="24">
        <f>$E$39+$F$39+$G$39</f>
        <v/>
      </c>
      <c r="I39" s="23" t="n">
        <v>0.22</v>
      </c>
      <c r="J39" s="24">
        <f>$H$39/(1-$I$39)</f>
        <v/>
      </c>
      <c r="K39" s="23" t="n">
        <v>0.2</v>
      </c>
      <c r="L39" s="33">
        <f>$J$39/(1-$K$39)</f>
        <v/>
      </c>
    </row>
    <row r="40">
      <c r="A40" s="8" t="inlineStr">
        <is>
          <t>PSO Carient FS</t>
        </is>
      </c>
      <c r="B40" s="8" t="inlineStr">
        <is>
          <t>5W-30</t>
        </is>
      </c>
      <c r="C40" s="12" t="n">
        <v>4</v>
      </c>
      <c r="D40" s="8" t="inlineStr">
        <is>
          <t>Premium</t>
        </is>
      </c>
      <c r="E40" s="13" t="n">
        <v>680</v>
      </c>
      <c r="F40" s="13" t="n">
        <v>280</v>
      </c>
      <c r="G40" s="13" t="n">
        <v>35</v>
      </c>
      <c r="H40" s="24">
        <f>$E$40+$F$40+$G$40</f>
        <v/>
      </c>
      <c r="I40" s="23" t="n">
        <v>0.38</v>
      </c>
      <c r="J40" s="24">
        <f>$H$40/(1-$I$40)</f>
        <v/>
      </c>
      <c r="K40" s="23" t="n">
        <v>0.2</v>
      </c>
      <c r="L40" s="33">
        <f>$J$40/(1-$K$40)</f>
        <v/>
      </c>
    </row>
    <row r="41">
      <c r="A41" s="8" t="inlineStr">
        <is>
          <t>PSO Carient FS</t>
        </is>
      </c>
      <c r="B41" s="8" t="inlineStr">
        <is>
          <t>5W-40</t>
        </is>
      </c>
      <c r="C41" s="12" t="n">
        <v>4</v>
      </c>
      <c r="D41" s="8" t="inlineStr">
        <is>
          <t>Premium</t>
        </is>
      </c>
      <c r="E41" s="13" t="n">
        <v>680</v>
      </c>
      <c r="F41" s="13" t="n">
        <v>260</v>
      </c>
      <c r="G41" s="13" t="n">
        <v>35</v>
      </c>
      <c r="H41" s="24">
        <f>$E$41+$F$41+$G$41</f>
        <v/>
      </c>
      <c r="I41" s="23" t="n">
        <v>0.38</v>
      </c>
      <c r="J41" s="24">
        <f>$H$41/(1-$I$41)</f>
        <v/>
      </c>
      <c r="K41" s="23" t="n">
        <v>0.2</v>
      </c>
      <c r="L41" s="33">
        <f>$J$41/(1-$K$41)</f>
        <v/>
      </c>
    </row>
    <row r="42">
      <c r="A42" s="8" t="inlineStr">
        <is>
          <t>PSO Carient FS</t>
        </is>
      </c>
      <c r="B42" s="8" t="inlineStr">
        <is>
          <t>10W-40</t>
        </is>
      </c>
      <c r="C42" s="12" t="n">
        <v>4</v>
      </c>
      <c r="D42" s="8" t="inlineStr">
        <is>
          <t>Premium</t>
        </is>
      </c>
      <c r="E42" s="13" t="n">
        <v>420</v>
      </c>
      <c r="F42" s="13" t="n">
        <v>140</v>
      </c>
      <c r="G42" s="13" t="n">
        <v>35</v>
      </c>
      <c r="H42" s="24">
        <f>$E$42+$F$42+$G$42</f>
        <v/>
      </c>
      <c r="I42" s="23" t="n">
        <v>0.38</v>
      </c>
      <c r="J42" s="24">
        <f>$H$42/(1-$I$42)</f>
        <v/>
      </c>
      <c r="K42" s="23" t="n">
        <v>0.2</v>
      </c>
      <c r="L42" s="33">
        <f>$J$42/(1-$K$42)</f>
        <v/>
      </c>
    </row>
    <row r="43">
      <c r="A43" s="8" t="inlineStr">
        <is>
          <t>PSO Carient Ultra</t>
        </is>
      </c>
      <c r="B43" s="8" t="inlineStr">
        <is>
          <t>0W-20</t>
        </is>
      </c>
      <c r="C43" s="12" t="n">
        <v>1</v>
      </c>
      <c r="D43" s="8" t="inlineStr">
        <is>
          <t>Super Premium</t>
        </is>
      </c>
      <c r="E43" s="13" t="n">
        <v>680</v>
      </c>
      <c r="F43" s="13" t="n">
        <v>320</v>
      </c>
      <c r="G43" s="13" t="n">
        <v>60</v>
      </c>
      <c r="H43" s="24">
        <f>$E$43+$F$43+$G$43</f>
        <v/>
      </c>
      <c r="I43" s="23" t="n">
        <v>0.45</v>
      </c>
      <c r="J43" s="24">
        <f>$H$43/(1-$I$43)</f>
        <v/>
      </c>
      <c r="K43" s="23" t="n">
        <v>0.2</v>
      </c>
      <c r="L43" s="33">
        <f>$J$43/(1-$K$43)</f>
        <v/>
      </c>
    </row>
    <row r="44">
      <c r="A44" s="8" t="inlineStr">
        <is>
          <t>PSO Carient Ultra</t>
        </is>
      </c>
      <c r="B44" s="8" t="inlineStr">
        <is>
          <t>5W-20</t>
        </is>
      </c>
      <c r="C44" s="12" t="n">
        <v>1</v>
      </c>
      <c r="D44" s="8" t="inlineStr">
        <is>
          <t>Super Premium</t>
        </is>
      </c>
      <c r="E44" s="13" t="n">
        <v>680</v>
      </c>
      <c r="F44" s="13" t="n">
        <v>300</v>
      </c>
      <c r="G44" s="13" t="n">
        <v>60</v>
      </c>
      <c r="H44" s="24">
        <f>$E$44+$F$44+$G$44</f>
        <v/>
      </c>
      <c r="I44" s="23" t="n">
        <v>0.45</v>
      </c>
      <c r="J44" s="24">
        <f>$H$44/(1-$I$44)</f>
        <v/>
      </c>
      <c r="K44" s="23" t="n">
        <v>0.2</v>
      </c>
      <c r="L44" s="33">
        <f>$J$44/(1-$K$44)</f>
        <v/>
      </c>
    </row>
    <row r="45">
      <c r="A45" s="8" t="inlineStr">
        <is>
          <t>PSO Carient Ultra</t>
        </is>
      </c>
      <c r="B45" s="8" t="inlineStr">
        <is>
          <t>5W-30</t>
        </is>
      </c>
      <c r="C45" s="12" t="n">
        <v>1</v>
      </c>
      <c r="D45" s="8" t="inlineStr">
        <is>
          <t>Super Premium</t>
        </is>
      </c>
      <c r="E45" s="13" t="n">
        <v>680</v>
      </c>
      <c r="F45" s="13" t="n">
        <v>280</v>
      </c>
      <c r="G45" s="13" t="n">
        <v>60</v>
      </c>
      <c r="H45" s="24">
        <f>$E$45+$F$45+$G$45</f>
        <v/>
      </c>
      <c r="I45" s="23" t="n">
        <v>0.45</v>
      </c>
      <c r="J45" s="24">
        <f>$H$45/(1-$I$45)</f>
        <v/>
      </c>
      <c r="K45" s="23" t="n">
        <v>0.2</v>
      </c>
      <c r="L45" s="33">
        <f>$J$45/(1-$K$45)</f>
        <v/>
      </c>
    </row>
    <row r="46">
      <c r="A46" s="8" t="inlineStr">
        <is>
          <t>PSO Carient Ultra</t>
        </is>
      </c>
      <c r="B46" s="8" t="inlineStr">
        <is>
          <t>5W-40</t>
        </is>
      </c>
      <c r="C46" s="12" t="n">
        <v>1</v>
      </c>
      <c r="D46" s="8" t="inlineStr">
        <is>
          <t>Super Premium</t>
        </is>
      </c>
      <c r="E46" s="13" t="n">
        <v>680</v>
      </c>
      <c r="F46" s="13" t="n">
        <v>260</v>
      </c>
      <c r="G46" s="13" t="n">
        <v>60</v>
      </c>
      <c r="H46" s="24">
        <f>$E$46+$F$46+$G$46</f>
        <v/>
      </c>
      <c r="I46" s="23" t="n">
        <v>0.45</v>
      </c>
      <c r="J46" s="24">
        <f>$H$46/(1-$I$46)</f>
        <v/>
      </c>
      <c r="K46" s="23" t="n">
        <v>0.2</v>
      </c>
      <c r="L46" s="33">
        <f>$J$46/(1-$K$46)</f>
        <v/>
      </c>
    </row>
    <row r="47">
      <c r="A47" s="8" t="inlineStr">
        <is>
          <t>PSO Carient Ultra</t>
        </is>
      </c>
      <c r="B47" s="8" t="inlineStr">
        <is>
          <t>0W-20</t>
        </is>
      </c>
      <c r="C47" s="12" t="n">
        <v>3</v>
      </c>
      <c r="D47" s="8" t="inlineStr">
        <is>
          <t>Super Premium</t>
        </is>
      </c>
      <c r="E47" s="13" t="n">
        <v>680</v>
      </c>
      <c r="F47" s="13" t="n">
        <v>320</v>
      </c>
      <c r="G47" s="13" t="n">
        <v>35</v>
      </c>
      <c r="H47" s="24">
        <f>$E$47+$F$47+$G$47</f>
        <v/>
      </c>
      <c r="I47" s="23" t="n">
        <v>0.45</v>
      </c>
      <c r="J47" s="24">
        <f>$H$47/(1-$I$47)</f>
        <v/>
      </c>
      <c r="K47" s="23" t="n">
        <v>0.2</v>
      </c>
      <c r="L47" s="33">
        <f>$J$47/(1-$K$47)</f>
        <v/>
      </c>
    </row>
    <row r="48">
      <c r="A48" s="8" t="inlineStr">
        <is>
          <t>PSO Carient Ultra</t>
        </is>
      </c>
      <c r="B48" s="8" t="inlineStr">
        <is>
          <t>5W-20</t>
        </is>
      </c>
      <c r="C48" s="12" t="n">
        <v>3</v>
      </c>
      <c r="D48" s="8" t="inlineStr">
        <is>
          <t>Super Premium</t>
        </is>
      </c>
      <c r="E48" s="13" t="n">
        <v>680</v>
      </c>
      <c r="F48" s="13" t="n">
        <v>300</v>
      </c>
      <c r="G48" s="13" t="n">
        <v>35</v>
      </c>
      <c r="H48" s="24">
        <f>$E$48+$F$48+$G$48</f>
        <v/>
      </c>
      <c r="I48" s="23" t="n">
        <v>0.45</v>
      </c>
      <c r="J48" s="24">
        <f>$H$48/(1-$I$48)</f>
        <v/>
      </c>
      <c r="K48" s="23" t="n">
        <v>0.2</v>
      </c>
      <c r="L48" s="33">
        <f>$J$48/(1-$K$48)</f>
        <v/>
      </c>
    </row>
    <row r="49">
      <c r="A49" s="8" t="inlineStr">
        <is>
          <t>PSO Carient Ultra</t>
        </is>
      </c>
      <c r="B49" s="8" t="inlineStr">
        <is>
          <t>5W-30</t>
        </is>
      </c>
      <c r="C49" s="12" t="n">
        <v>3</v>
      </c>
      <c r="D49" s="8" t="inlineStr">
        <is>
          <t>Super Premium</t>
        </is>
      </c>
      <c r="E49" s="13" t="n">
        <v>680</v>
      </c>
      <c r="F49" s="13" t="n">
        <v>280</v>
      </c>
      <c r="G49" s="13" t="n">
        <v>35</v>
      </c>
      <c r="H49" s="24">
        <f>$E$49+$F$49+$G$49</f>
        <v/>
      </c>
      <c r="I49" s="23" t="n">
        <v>0.45</v>
      </c>
      <c r="J49" s="24">
        <f>$H$49/(1-$I$49)</f>
        <v/>
      </c>
      <c r="K49" s="23" t="n">
        <v>0.2</v>
      </c>
      <c r="L49" s="33">
        <f>$J$49/(1-$K$49)</f>
        <v/>
      </c>
    </row>
    <row r="50">
      <c r="A50" s="8" t="inlineStr">
        <is>
          <t>PSO Carient Ultra</t>
        </is>
      </c>
      <c r="B50" s="8" t="inlineStr">
        <is>
          <t>5W-40</t>
        </is>
      </c>
      <c r="C50" s="12" t="n">
        <v>3</v>
      </c>
      <c r="D50" s="8" t="inlineStr">
        <is>
          <t>Super Premium</t>
        </is>
      </c>
      <c r="E50" s="13" t="n">
        <v>680</v>
      </c>
      <c r="F50" s="13" t="n">
        <v>260</v>
      </c>
      <c r="G50" s="13" t="n">
        <v>35</v>
      </c>
      <c r="H50" s="24">
        <f>$E$50+$F$50+$G$50</f>
        <v/>
      </c>
      <c r="I50" s="23" t="n">
        <v>0.45</v>
      </c>
      <c r="J50" s="24">
        <f>$H$50/(1-$I$50)</f>
        <v/>
      </c>
      <c r="K50" s="23" t="n">
        <v>0.2</v>
      </c>
      <c r="L50" s="33">
        <f>$J$50/(1-$K$50)</f>
        <v/>
      </c>
    </row>
    <row r="51">
      <c r="A51" s="8" t="inlineStr">
        <is>
          <t>PSO Carient Ultra</t>
        </is>
      </c>
      <c r="B51" s="8" t="inlineStr">
        <is>
          <t>0W-20</t>
        </is>
      </c>
      <c r="C51" s="12" t="n">
        <v>4</v>
      </c>
      <c r="D51" s="8" t="inlineStr">
        <is>
          <t>Super Premium</t>
        </is>
      </c>
      <c r="E51" s="13" t="n">
        <v>680</v>
      </c>
      <c r="F51" s="13" t="n">
        <v>320</v>
      </c>
      <c r="G51" s="13" t="n">
        <v>35</v>
      </c>
      <c r="H51" s="24">
        <f>$E$51+$F$51+$G$51</f>
        <v/>
      </c>
      <c r="I51" s="23" t="n">
        <v>0.45</v>
      </c>
      <c r="J51" s="24">
        <f>$H$51/(1-$I$51)</f>
        <v/>
      </c>
      <c r="K51" s="23" t="n">
        <v>0.2</v>
      </c>
      <c r="L51" s="33">
        <f>$J$51/(1-$K$51)</f>
        <v/>
      </c>
    </row>
    <row r="52">
      <c r="A52" s="8" t="inlineStr">
        <is>
          <t>PSO Carient Ultra</t>
        </is>
      </c>
      <c r="B52" s="8" t="inlineStr">
        <is>
          <t>5W-20</t>
        </is>
      </c>
      <c r="C52" s="12" t="n">
        <v>4</v>
      </c>
      <c r="D52" s="8" t="inlineStr">
        <is>
          <t>Super Premium</t>
        </is>
      </c>
      <c r="E52" s="13" t="n">
        <v>680</v>
      </c>
      <c r="F52" s="13" t="n">
        <v>300</v>
      </c>
      <c r="G52" s="13" t="n">
        <v>35</v>
      </c>
      <c r="H52" s="24">
        <f>$E$52+$F$52+$G$52</f>
        <v/>
      </c>
      <c r="I52" s="23" t="n">
        <v>0.45</v>
      </c>
      <c r="J52" s="24">
        <f>$H$52/(1-$I$52)</f>
        <v/>
      </c>
      <c r="K52" s="23" t="n">
        <v>0.2</v>
      </c>
      <c r="L52" s="33">
        <f>$J$52/(1-$K$52)</f>
        <v/>
      </c>
    </row>
    <row r="53">
      <c r="A53" s="8" t="inlineStr">
        <is>
          <t>PSO Carient Ultra</t>
        </is>
      </c>
      <c r="B53" s="8" t="inlineStr">
        <is>
          <t>5W-30</t>
        </is>
      </c>
      <c r="C53" s="12" t="n">
        <v>4</v>
      </c>
      <c r="D53" s="8" t="inlineStr">
        <is>
          <t>Super Premium</t>
        </is>
      </c>
      <c r="E53" s="13" t="n">
        <v>680</v>
      </c>
      <c r="F53" s="13" t="n">
        <v>280</v>
      </c>
      <c r="G53" s="13" t="n">
        <v>35</v>
      </c>
      <c r="H53" s="24">
        <f>$E$53+$F$53+$G$53</f>
        <v/>
      </c>
      <c r="I53" s="23" t="n">
        <v>0.45</v>
      </c>
      <c r="J53" s="24">
        <f>$H$53/(1-$I$53)</f>
        <v/>
      </c>
      <c r="K53" s="23" t="n">
        <v>0.2</v>
      </c>
      <c r="L53" s="33">
        <f>$J$53/(1-$K$53)</f>
        <v/>
      </c>
    </row>
    <row r="54">
      <c r="A54" s="8" t="inlineStr">
        <is>
          <t>PSO Carient Ultra</t>
        </is>
      </c>
      <c r="B54" s="8" t="inlineStr">
        <is>
          <t>5W-40</t>
        </is>
      </c>
      <c r="C54" s="12" t="n">
        <v>4</v>
      </c>
      <c r="D54" s="8" t="inlineStr">
        <is>
          <t>Super Premium</t>
        </is>
      </c>
      <c r="E54" s="13" t="n">
        <v>680</v>
      </c>
      <c r="F54" s="13" t="n">
        <v>260</v>
      </c>
      <c r="G54" s="13" t="n">
        <v>35</v>
      </c>
      <c r="H54" s="24">
        <f>$E$54+$F$54+$G$54</f>
        <v/>
      </c>
      <c r="I54" s="23" t="n">
        <v>0.45</v>
      </c>
      <c r="J54" s="24">
        <f>$H$54/(1-$I$54)</f>
        <v/>
      </c>
      <c r="K54" s="23" t="n">
        <v>0.2</v>
      </c>
      <c r="L54" s="33">
        <f>$J$54/(1-$K$54)</f>
        <v/>
      </c>
    </row>
    <row r="55">
      <c r="A55" s="8" t="inlineStr">
        <is>
          <t>PSO Carient Plus</t>
        </is>
      </c>
      <c r="B55" s="8" t="inlineStr">
        <is>
          <t>10W-40</t>
        </is>
      </c>
      <c r="C55" s="12" t="n">
        <v>1</v>
      </c>
      <c r="D55" s="8" t="inlineStr">
        <is>
          <t>Mainstream</t>
        </is>
      </c>
      <c r="E55" s="13" t="n">
        <v>420</v>
      </c>
      <c r="F55" s="13" t="n">
        <v>140</v>
      </c>
      <c r="G55" s="13" t="n">
        <v>60</v>
      </c>
      <c r="H55" s="24">
        <f>$E$55+$F$55+$G$55</f>
        <v/>
      </c>
      <c r="I55" s="23" t="n">
        <v>0.3</v>
      </c>
      <c r="J55" s="24">
        <f>$H$55/(1-$I$55)</f>
        <v/>
      </c>
      <c r="K55" s="23" t="n">
        <v>0.2</v>
      </c>
      <c r="L55" s="33">
        <f>$J$55/(1-$K$55)</f>
        <v/>
      </c>
    </row>
    <row r="56">
      <c r="A56" s="8" t="inlineStr">
        <is>
          <t>PSO Carient Plus</t>
        </is>
      </c>
      <c r="B56" s="8" t="inlineStr">
        <is>
          <t>15W-40</t>
        </is>
      </c>
      <c r="C56" s="12" t="n">
        <v>1</v>
      </c>
      <c r="D56" s="8" t="inlineStr">
        <is>
          <t>Mainstream</t>
        </is>
      </c>
      <c r="E56" s="13" t="n">
        <v>420</v>
      </c>
      <c r="F56" s="13" t="n">
        <v>120</v>
      </c>
      <c r="G56" s="13" t="n">
        <v>60</v>
      </c>
      <c r="H56" s="24">
        <f>$E$56+$F$56+$G$56</f>
        <v/>
      </c>
      <c r="I56" s="23" t="n">
        <v>0.3</v>
      </c>
      <c r="J56" s="24">
        <f>$H$56/(1-$I$56)</f>
        <v/>
      </c>
      <c r="K56" s="23" t="n">
        <v>0.2</v>
      </c>
      <c r="L56" s="33">
        <f>$J$56/(1-$K$56)</f>
        <v/>
      </c>
    </row>
    <row r="57">
      <c r="A57" s="8" t="inlineStr">
        <is>
          <t>PSO Carient Plus</t>
        </is>
      </c>
      <c r="B57" s="8" t="inlineStr">
        <is>
          <t>20W-50</t>
        </is>
      </c>
      <c r="C57" s="12" t="n">
        <v>1</v>
      </c>
      <c r="D57" s="8" t="inlineStr">
        <is>
          <t>Mainstream</t>
        </is>
      </c>
      <c r="E57" s="13" t="n">
        <v>280</v>
      </c>
      <c r="F57" s="13" t="n">
        <v>90</v>
      </c>
      <c r="G57" s="13" t="n">
        <v>60</v>
      </c>
      <c r="H57" s="24">
        <f>$E$57+$F$57+$G$57</f>
        <v/>
      </c>
      <c r="I57" s="23" t="n">
        <v>0.3</v>
      </c>
      <c r="J57" s="24">
        <f>$H$57/(1-$I$57)</f>
        <v/>
      </c>
      <c r="K57" s="23" t="n">
        <v>0.2</v>
      </c>
      <c r="L57" s="33">
        <f>$J$57/(1-$K$57)</f>
        <v/>
      </c>
    </row>
    <row r="58">
      <c r="A58" s="8" t="inlineStr">
        <is>
          <t>PSO Carient Plus</t>
        </is>
      </c>
      <c r="B58" s="8" t="inlineStr">
        <is>
          <t>10W-40</t>
        </is>
      </c>
      <c r="C58" s="12" t="n">
        <v>3</v>
      </c>
      <c r="D58" s="8" t="inlineStr">
        <is>
          <t>Mainstream</t>
        </is>
      </c>
      <c r="E58" s="13" t="n">
        <v>420</v>
      </c>
      <c r="F58" s="13" t="n">
        <v>140</v>
      </c>
      <c r="G58" s="13" t="n">
        <v>35</v>
      </c>
      <c r="H58" s="24">
        <f>$E$58+$F$58+$G$58</f>
        <v/>
      </c>
      <c r="I58" s="23" t="n">
        <v>0.3</v>
      </c>
      <c r="J58" s="24">
        <f>$H$58/(1-$I$58)</f>
        <v/>
      </c>
      <c r="K58" s="23" t="n">
        <v>0.2</v>
      </c>
      <c r="L58" s="33">
        <f>$J$58/(1-$K$58)</f>
        <v/>
      </c>
    </row>
    <row r="59">
      <c r="A59" s="8" t="inlineStr">
        <is>
          <t>PSO Carient Plus</t>
        </is>
      </c>
      <c r="B59" s="8" t="inlineStr">
        <is>
          <t>15W-40</t>
        </is>
      </c>
      <c r="C59" s="12" t="n">
        <v>3</v>
      </c>
      <c r="D59" s="8" t="inlineStr">
        <is>
          <t>Mainstream</t>
        </is>
      </c>
      <c r="E59" s="13" t="n">
        <v>420</v>
      </c>
      <c r="F59" s="13" t="n">
        <v>120</v>
      </c>
      <c r="G59" s="13" t="n">
        <v>35</v>
      </c>
      <c r="H59" s="24">
        <f>$E$59+$F$59+$G$59</f>
        <v/>
      </c>
      <c r="I59" s="23" t="n">
        <v>0.3</v>
      </c>
      <c r="J59" s="24">
        <f>$H$59/(1-$I$59)</f>
        <v/>
      </c>
      <c r="K59" s="23" t="n">
        <v>0.2</v>
      </c>
      <c r="L59" s="33">
        <f>$J$59/(1-$K$59)</f>
        <v/>
      </c>
    </row>
    <row r="60">
      <c r="A60" s="8" t="inlineStr">
        <is>
          <t>PSO Carient Plus</t>
        </is>
      </c>
      <c r="B60" s="8" t="inlineStr">
        <is>
          <t>20W-50</t>
        </is>
      </c>
      <c r="C60" s="12" t="n">
        <v>3</v>
      </c>
      <c r="D60" s="8" t="inlineStr">
        <is>
          <t>Mainstream</t>
        </is>
      </c>
      <c r="E60" s="13" t="n">
        <v>280</v>
      </c>
      <c r="F60" s="13" t="n">
        <v>90</v>
      </c>
      <c r="G60" s="13" t="n">
        <v>35</v>
      </c>
      <c r="H60" s="24">
        <f>$E$60+$F$60+$G$60</f>
        <v/>
      </c>
      <c r="I60" s="23" t="n">
        <v>0.3</v>
      </c>
      <c r="J60" s="24">
        <f>$H$60/(1-$I$60)</f>
        <v/>
      </c>
      <c r="K60" s="23" t="n">
        <v>0.2</v>
      </c>
      <c r="L60" s="33">
        <f>$J$60/(1-$K$60)</f>
        <v/>
      </c>
    </row>
    <row r="61">
      <c r="A61" s="8" t="inlineStr">
        <is>
          <t>PSO Carient Plus</t>
        </is>
      </c>
      <c r="B61" s="8" t="inlineStr">
        <is>
          <t>10W-40</t>
        </is>
      </c>
      <c r="C61" s="12" t="n">
        <v>4</v>
      </c>
      <c r="D61" s="8" t="inlineStr">
        <is>
          <t>Mainstream</t>
        </is>
      </c>
      <c r="E61" s="13" t="n">
        <v>420</v>
      </c>
      <c r="F61" s="13" t="n">
        <v>140</v>
      </c>
      <c r="G61" s="13" t="n">
        <v>35</v>
      </c>
      <c r="H61" s="24">
        <f>$E$61+$F$61+$G$61</f>
        <v/>
      </c>
      <c r="I61" s="23" t="n">
        <v>0.3</v>
      </c>
      <c r="J61" s="24">
        <f>$H$61/(1-$I$61)</f>
        <v/>
      </c>
      <c r="K61" s="23" t="n">
        <v>0.2</v>
      </c>
      <c r="L61" s="33">
        <f>$J$61/(1-$K$61)</f>
        <v/>
      </c>
    </row>
    <row r="62">
      <c r="A62" s="8" t="inlineStr">
        <is>
          <t>PSO Carient Plus</t>
        </is>
      </c>
      <c r="B62" s="8" t="inlineStr">
        <is>
          <t>15W-40</t>
        </is>
      </c>
      <c r="C62" s="12" t="n">
        <v>4</v>
      </c>
      <c r="D62" s="8" t="inlineStr">
        <is>
          <t>Mainstream</t>
        </is>
      </c>
      <c r="E62" s="13" t="n">
        <v>420</v>
      </c>
      <c r="F62" s="13" t="n">
        <v>120</v>
      </c>
      <c r="G62" s="13" t="n">
        <v>35</v>
      </c>
      <c r="H62" s="24">
        <f>$E$62+$F$62+$G$62</f>
        <v/>
      </c>
      <c r="I62" s="23" t="n">
        <v>0.3</v>
      </c>
      <c r="J62" s="24">
        <f>$H$62/(1-$I$62)</f>
        <v/>
      </c>
      <c r="K62" s="23" t="n">
        <v>0.2</v>
      </c>
      <c r="L62" s="33">
        <f>$J$62/(1-$K$62)</f>
        <v/>
      </c>
    </row>
    <row r="63">
      <c r="A63" s="8" t="inlineStr">
        <is>
          <t>PSO Carient Plus</t>
        </is>
      </c>
      <c r="B63" s="8" t="inlineStr">
        <is>
          <t>20W-50</t>
        </is>
      </c>
      <c r="C63" s="12" t="n">
        <v>4</v>
      </c>
      <c r="D63" s="8" t="inlineStr">
        <is>
          <t>Mainstream</t>
        </is>
      </c>
      <c r="E63" s="13" t="n">
        <v>280</v>
      </c>
      <c r="F63" s="13" t="n">
        <v>90</v>
      </c>
      <c r="G63" s="13" t="n">
        <v>35</v>
      </c>
      <c r="H63" s="24">
        <f>$E$63+$F$63+$G$63</f>
        <v/>
      </c>
      <c r="I63" s="23" t="n">
        <v>0.3</v>
      </c>
      <c r="J63" s="24">
        <f>$H$63/(1-$I$63)</f>
        <v/>
      </c>
      <c r="K63" s="23" t="n">
        <v>0.2</v>
      </c>
      <c r="L63" s="33">
        <f>$J$63/(1-$K$63)</f>
        <v/>
      </c>
    </row>
    <row r="64">
      <c r="A64" s="8" t="inlineStr">
        <is>
          <t>PSO Blaze 4T</t>
        </is>
      </c>
      <c r="B64" s="8" t="inlineStr">
        <is>
          <t>10W-40</t>
        </is>
      </c>
      <c r="C64" s="12" t="n">
        <v>1</v>
      </c>
      <c r="D64" s="8" t="inlineStr">
        <is>
          <t>Mainstream</t>
        </is>
      </c>
      <c r="E64" s="13" t="n">
        <v>420</v>
      </c>
      <c r="F64" s="13" t="n">
        <v>140</v>
      </c>
      <c r="G64" s="13" t="n">
        <v>60</v>
      </c>
      <c r="H64" s="24">
        <f>$E$64+$F$64+$G$64</f>
        <v/>
      </c>
      <c r="I64" s="23" t="n">
        <v>0.3</v>
      </c>
      <c r="J64" s="24">
        <f>$H$64/(1-$I$64)</f>
        <v/>
      </c>
      <c r="K64" s="23" t="n">
        <v>0.2</v>
      </c>
      <c r="L64" s="33">
        <f>$J$64/(1-$K$64)</f>
        <v/>
      </c>
    </row>
    <row r="65">
      <c r="A65" s="8" t="inlineStr">
        <is>
          <t>PSO Blaze 4T</t>
        </is>
      </c>
      <c r="B65" s="8" t="inlineStr">
        <is>
          <t>20W-50</t>
        </is>
      </c>
      <c r="C65" s="12" t="n">
        <v>1</v>
      </c>
      <c r="D65" s="8" t="inlineStr">
        <is>
          <t>Mainstream</t>
        </is>
      </c>
      <c r="E65" s="13" t="n">
        <v>280</v>
      </c>
      <c r="F65" s="13" t="n">
        <v>90</v>
      </c>
      <c r="G65" s="13" t="n">
        <v>60</v>
      </c>
      <c r="H65" s="24">
        <f>$E$65+$F$65+$G$65</f>
        <v/>
      </c>
      <c r="I65" s="23" t="n">
        <v>0.3</v>
      </c>
      <c r="J65" s="24">
        <f>$H$65/(1-$I$65)</f>
        <v/>
      </c>
      <c r="K65" s="23" t="n">
        <v>0.2</v>
      </c>
      <c r="L65" s="33">
        <f>$J$65/(1-$K$65)</f>
        <v/>
      </c>
    </row>
    <row r="66">
      <c r="A66" s="8" t="inlineStr">
        <is>
          <t>PSO Blaze 4T</t>
        </is>
      </c>
      <c r="B66" s="8" t="inlineStr">
        <is>
          <t>10W-40</t>
        </is>
      </c>
      <c r="C66" s="12" t="n">
        <v>0.7</v>
      </c>
      <c r="D66" s="8" t="inlineStr">
        <is>
          <t>Mainstream</t>
        </is>
      </c>
      <c r="E66" s="13" t="n">
        <v>420</v>
      </c>
      <c r="F66" s="13" t="n">
        <v>140</v>
      </c>
      <c r="G66" s="13" t="n">
        <v>60</v>
      </c>
      <c r="H66" s="24">
        <f>$E$66+$F$66+$G$66</f>
        <v/>
      </c>
      <c r="I66" s="23" t="n">
        <v>0.3</v>
      </c>
      <c r="J66" s="24">
        <f>$H$66/(1-$I$66)</f>
        <v/>
      </c>
      <c r="K66" s="23" t="n">
        <v>0.2</v>
      </c>
      <c r="L66" s="33">
        <f>$J$66/(1-$K$66)</f>
        <v/>
      </c>
    </row>
    <row r="67">
      <c r="A67" s="8" t="inlineStr">
        <is>
          <t>PSO Blaze 4T</t>
        </is>
      </c>
      <c r="B67" s="8" t="inlineStr">
        <is>
          <t>20W-50</t>
        </is>
      </c>
      <c r="C67" s="12" t="n">
        <v>0.7</v>
      </c>
      <c r="D67" s="8" t="inlineStr">
        <is>
          <t>Mainstream</t>
        </is>
      </c>
      <c r="E67" s="13" t="n">
        <v>280</v>
      </c>
      <c r="F67" s="13" t="n">
        <v>90</v>
      </c>
      <c r="G67" s="13" t="n">
        <v>60</v>
      </c>
      <c r="H67" s="24">
        <f>$E$67+$F$67+$G$67</f>
        <v/>
      </c>
      <c r="I67" s="23" t="n">
        <v>0.3</v>
      </c>
      <c r="J67" s="24">
        <f>$H$67/(1-$I$67)</f>
        <v/>
      </c>
      <c r="K67" s="23" t="n">
        <v>0.2</v>
      </c>
      <c r="L67" s="33">
        <f>$J$67/(1-$K$67)</f>
        <v/>
      </c>
    </row>
    <row r="68">
      <c r="A68" s="8" t="inlineStr">
        <is>
          <t>PSO Blaze Xtreme</t>
        </is>
      </c>
      <c r="B68" s="8" t="inlineStr">
        <is>
          <t>10W-40</t>
        </is>
      </c>
      <c r="C68" s="12" t="n">
        <v>1</v>
      </c>
      <c r="D68" s="8" t="inlineStr">
        <is>
          <t>Premium</t>
        </is>
      </c>
      <c r="E68" s="13" t="n">
        <v>420</v>
      </c>
      <c r="F68" s="13" t="n">
        <v>140</v>
      </c>
      <c r="G68" s="13" t="n">
        <v>60</v>
      </c>
      <c r="H68" s="24">
        <f>$E$68+$F$68+$G$68</f>
        <v/>
      </c>
      <c r="I68" s="23" t="n">
        <v>0.38</v>
      </c>
      <c r="J68" s="24">
        <f>$H$68/(1-$I$68)</f>
        <v/>
      </c>
      <c r="K68" s="23" t="n">
        <v>0.2</v>
      </c>
      <c r="L68" s="33">
        <f>$J$68/(1-$K$68)</f>
        <v/>
      </c>
    </row>
    <row r="69">
      <c r="A69" s="8" t="inlineStr">
        <is>
          <t>PSO DEO 3000</t>
        </is>
      </c>
      <c r="B69" s="8" t="inlineStr">
        <is>
          <t>15W-40</t>
        </is>
      </c>
      <c r="C69" s="12" t="n">
        <v>4</v>
      </c>
      <c r="D69" s="8" t="inlineStr">
        <is>
          <t>Mainstream</t>
        </is>
      </c>
      <c r="E69" s="13" t="n">
        <v>420</v>
      </c>
      <c r="F69" s="13" t="n">
        <v>120</v>
      </c>
      <c r="G69" s="13" t="n">
        <v>35</v>
      </c>
      <c r="H69" s="24">
        <f>$E$69+$F$69+$G$69</f>
        <v/>
      </c>
      <c r="I69" s="23" t="n">
        <v>0.3</v>
      </c>
      <c r="J69" s="24">
        <f>$H$69/(1-$I$69)</f>
        <v/>
      </c>
      <c r="K69" s="23" t="n">
        <v>0.2</v>
      </c>
      <c r="L69" s="33">
        <f>$J$69/(1-$K$69)</f>
        <v/>
      </c>
    </row>
    <row r="70">
      <c r="A70" s="8" t="inlineStr">
        <is>
          <t>PSO DEO 3000</t>
        </is>
      </c>
      <c r="B70" s="8" t="inlineStr">
        <is>
          <t>20W-50</t>
        </is>
      </c>
      <c r="C70" s="12" t="n">
        <v>4</v>
      </c>
      <c r="D70" s="8" t="inlineStr">
        <is>
          <t>Mainstream</t>
        </is>
      </c>
      <c r="E70" s="13" t="n">
        <v>280</v>
      </c>
      <c r="F70" s="13" t="n">
        <v>90</v>
      </c>
      <c r="G70" s="13" t="n">
        <v>35</v>
      </c>
      <c r="H70" s="24">
        <f>$E$70+$F$70+$G$70</f>
        <v/>
      </c>
      <c r="I70" s="23" t="n">
        <v>0.3</v>
      </c>
      <c r="J70" s="24">
        <f>$H$70/(1-$I$70)</f>
        <v/>
      </c>
      <c r="K70" s="23" t="n">
        <v>0.2</v>
      </c>
      <c r="L70" s="33">
        <f>$J$70/(1-$K$70)</f>
        <v/>
      </c>
    </row>
    <row r="71">
      <c r="A71" s="8" t="inlineStr">
        <is>
          <t>PSO DEO 6000</t>
        </is>
      </c>
      <c r="B71" s="8" t="inlineStr">
        <is>
          <t>15W-40</t>
        </is>
      </c>
      <c r="C71" s="12" t="n">
        <v>1</v>
      </c>
      <c r="D71" s="8" t="inlineStr">
        <is>
          <t>Premium</t>
        </is>
      </c>
      <c r="E71" s="13" t="n">
        <v>420</v>
      </c>
      <c r="F71" s="13" t="n">
        <v>120</v>
      </c>
      <c r="G71" s="13" t="n">
        <v>60</v>
      </c>
      <c r="H71" s="24">
        <f>$E$71+$F$71+$G$71</f>
        <v/>
      </c>
      <c r="I71" s="23" t="n">
        <v>0.38</v>
      </c>
      <c r="J71" s="24">
        <f>$H$71/(1-$I$71)</f>
        <v/>
      </c>
      <c r="K71" s="23" t="n">
        <v>0.2</v>
      </c>
      <c r="L71" s="33">
        <f>$J$71/(1-$K$71)</f>
        <v/>
      </c>
    </row>
    <row r="72">
      <c r="A72" s="8" t="inlineStr">
        <is>
          <t>PSO DEO 6000</t>
        </is>
      </c>
      <c r="B72" s="8" t="inlineStr">
        <is>
          <t>15W-40</t>
        </is>
      </c>
      <c r="C72" s="12" t="n">
        <v>4</v>
      </c>
      <c r="D72" s="8" t="inlineStr">
        <is>
          <t>Premium</t>
        </is>
      </c>
      <c r="E72" s="13" t="n">
        <v>420</v>
      </c>
      <c r="F72" s="13" t="n">
        <v>120</v>
      </c>
      <c r="G72" s="13" t="n">
        <v>35</v>
      </c>
      <c r="H72" s="24">
        <f>$E$72+$F$72+$G$72</f>
        <v/>
      </c>
      <c r="I72" s="23" t="n">
        <v>0.38</v>
      </c>
      <c r="J72" s="24">
        <f>$H$72/(1-$I$72)</f>
        <v/>
      </c>
      <c r="K72" s="23" t="n">
        <v>0.2</v>
      </c>
      <c r="L72" s="33">
        <f>$J$72/(1-$K$72)</f>
        <v/>
      </c>
    </row>
    <row r="73">
      <c r="A73" s="8" t="inlineStr">
        <is>
          <t>PSO DEO 8000</t>
        </is>
      </c>
      <c r="B73" s="8" t="inlineStr">
        <is>
          <t>10W-40</t>
        </is>
      </c>
      <c r="C73" s="12" t="n">
        <v>1</v>
      </c>
      <c r="D73" s="8" t="inlineStr">
        <is>
          <t>Super Premium</t>
        </is>
      </c>
      <c r="E73" s="13" t="n">
        <v>420</v>
      </c>
      <c r="F73" s="13" t="n">
        <v>140</v>
      </c>
      <c r="G73" s="13" t="n">
        <v>60</v>
      </c>
      <c r="H73" s="24">
        <f>$E$73+$F$73+$G$73</f>
        <v/>
      </c>
      <c r="I73" s="23" t="n">
        <v>0.45</v>
      </c>
      <c r="J73" s="24">
        <f>$H$73/(1-$I$73)</f>
        <v/>
      </c>
      <c r="K73" s="23" t="n">
        <v>0.2</v>
      </c>
      <c r="L73" s="33">
        <f>$J$73/(1-$K$73)</f>
        <v/>
      </c>
    </row>
    <row r="74">
      <c r="A74" s="8" t="inlineStr">
        <is>
          <t>PSO DEO 8000</t>
        </is>
      </c>
      <c r="B74" s="8" t="inlineStr">
        <is>
          <t>15W-40</t>
        </is>
      </c>
      <c r="C74" s="12" t="n">
        <v>1</v>
      </c>
      <c r="D74" s="8" t="inlineStr">
        <is>
          <t>Super Premium</t>
        </is>
      </c>
      <c r="E74" s="13" t="n">
        <v>420</v>
      </c>
      <c r="F74" s="13" t="n">
        <v>120</v>
      </c>
      <c r="G74" s="13" t="n">
        <v>60</v>
      </c>
      <c r="H74" s="24">
        <f>$E$74+$F$74+$G$74</f>
        <v/>
      </c>
      <c r="I74" s="23" t="n">
        <v>0.45</v>
      </c>
      <c r="J74" s="24">
        <f>$H$74/(1-$I$74)</f>
        <v/>
      </c>
      <c r="K74" s="23" t="n">
        <v>0.2</v>
      </c>
      <c r="L74" s="33">
        <f>$J$74/(1-$K$74)</f>
        <v/>
      </c>
    </row>
    <row r="75">
      <c r="A75" s="8" t="inlineStr">
        <is>
          <t>PSO DEO 8000</t>
        </is>
      </c>
      <c r="B75" s="8" t="inlineStr">
        <is>
          <t>10W-40</t>
        </is>
      </c>
      <c r="C75" s="12" t="n">
        <v>4</v>
      </c>
      <c r="D75" s="8" t="inlineStr">
        <is>
          <t>Super Premium</t>
        </is>
      </c>
      <c r="E75" s="13" t="n">
        <v>420</v>
      </c>
      <c r="F75" s="13" t="n">
        <v>140</v>
      </c>
      <c r="G75" s="13" t="n">
        <v>35</v>
      </c>
      <c r="H75" s="24">
        <f>$E$75+$F$75+$G$75</f>
        <v/>
      </c>
      <c r="I75" s="23" t="n">
        <v>0.45</v>
      </c>
      <c r="J75" s="24">
        <f>$H$75/(1-$I$75)</f>
        <v/>
      </c>
      <c r="K75" s="23" t="n">
        <v>0.2</v>
      </c>
      <c r="L75" s="33">
        <f>$J$75/(1-$K$75)</f>
        <v/>
      </c>
    </row>
    <row r="76">
      <c r="A76" s="8" t="inlineStr">
        <is>
          <t>PSO DEO 8000</t>
        </is>
      </c>
      <c r="B76" s="8" t="inlineStr">
        <is>
          <t>15W-40</t>
        </is>
      </c>
      <c r="C76" s="12" t="n">
        <v>4</v>
      </c>
      <c r="D76" s="8" t="inlineStr">
        <is>
          <t>Super Premium</t>
        </is>
      </c>
      <c r="E76" s="13" t="n">
        <v>420</v>
      </c>
      <c r="F76" s="13" t="n">
        <v>120</v>
      </c>
      <c r="G76" s="13" t="n">
        <v>35</v>
      </c>
      <c r="H76" s="24">
        <f>$E$76+$F$76+$G$76</f>
        <v/>
      </c>
      <c r="I76" s="23" t="n">
        <v>0.45</v>
      </c>
      <c r="J76" s="24">
        <f>$H$76/(1-$I$76)</f>
        <v/>
      </c>
      <c r="K76" s="23" t="n">
        <v>0.2</v>
      </c>
      <c r="L76" s="33">
        <f>$J$76/(1-$K$76)</f>
        <v/>
      </c>
    </row>
    <row r="77">
      <c r="A77" s="8" t="inlineStr">
        <is>
          <t>PSO DEO Max</t>
        </is>
      </c>
      <c r="B77" s="8" t="inlineStr">
        <is>
          <t>10W-40</t>
        </is>
      </c>
      <c r="C77" s="12" t="n">
        <v>4</v>
      </c>
      <c r="D77" s="8" t="inlineStr">
        <is>
          <t>Super Premium</t>
        </is>
      </c>
      <c r="E77" s="13" t="n">
        <v>420</v>
      </c>
      <c r="F77" s="13" t="n">
        <v>140</v>
      </c>
      <c r="G77" s="13" t="n">
        <v>35</v>
      </c>
      <c r="H77" s="24">
        <f>$E$77+$F$77+$G$77</f>
        <v/>
      </c>
      <c r="I77" s="23" t="n">
        <v>0.45</v>
      </c>
      <c r="J77" s="24">
        <f>$H$77/(1-$I$77)</f>
        <v/>
      </c>
      <c r="K77" s="23" t="n">
        <v>0.2</v>
      </c>
      <c r="L77" s="33">
        <f>$J$77/(1-$K$77)</f>
        <v/>
      </c>
    </row>
    <row r="78">
      <c r="A78" s="8" t="inlineStr">
        <is>
          <t>PSO DEO Max</t>
        </is>
      </c>
      <c r="B78" s="8" t="inlineStr">
        <is>
          <t>15W-40</t>
        </is>
      </c>
      <c r="C78" s="12" t="n">
        <v>4</v>
      </c>
      <c r="D78" s="8" t="inlineStr">
        <is>
          <t>Super Premium</t>
        </is>
      </c>
      <c r="E78" s="13" t="n">
        <v>420</v>
      </c>
      <c r="F78" s="13" t="n">
        <v>120</v>
      </c>
      <c r="G78" s="13" t="n">
        <v>35</v>
      </c>
      <c r="H78" s="24">
        <f>$E$78+$F$78+$G$78</f>
        <v/>
      </c>
      <c r="I78" s="23" t="n">
        <v>0.45</v>
      </c>
      <c r="J78" s="24">
        <f>$H$78/(1-$I$78)</f>
        <v/>
      </c>
      <c r="K78" s="23" t="n">
        <v>0.2</v>
      </c>
      <c r="L78" s="33">
        <f>$J$78/(1-$K$78)</f>
        <v/>
      </c>
    </row>
    <row r="79">
      <c r="A79" s="8" t="inlineStr">
        <is>
          <t>PSO Dieselube</t>
        </is>
      </c>
      <c r="B79" s="8" t="inlineStr">
        <is>
          <t>15W-40</t>
        </is>
      </c>
      <c r="C79" s="12" t="n">
        <v>4</v>
      </c>
      <c r="D79" s="8" t="inlineStr">
        <is>
          <t>Economy</t>
        </is>
      </c>
      <c r="E79" s="13" t="n">
        <v>420</v>
      </c>
      <c r="F79" s="13" t="n">
        <v>120</v>
      </c>
      <c r="G79" s="13" t="n">
        <v>35</v>
      </c>
      <c r="H79" s="24">
        <f>$E$79+$F$79+$G$79</f>
        <v/>
      </c>
      <c r="I79" s="23" t="n">
        <v>0.22</v>
      </c>
      <c r="J79" s="24">
        <f>$H$79/(1-$I$79)</f>
        <v/>
      </c>
      <c r="K79" s="23" t="n">
        <v>0.2</v>
      </c>
      <c r="L79" s="33">
        <f>$J$79/(1-$K$79)</f>
        <v/>
      </c>
    </row>
    <row r="80">
      <c r="A80" s="8" t="inlineStr">
        <is>
          <t>PSO Dieselube</t>
        </is>
      </c>
      <c r="B80" s="8" t="inlineStr">
        <is>
          <t>20W-50</t>
        </is>
      </c>
      <c r="C80" s="12" t="n">
        <v>4</v>
      </c>
      <c r="D80" s="8" t="inlineStr">
        <is>
          <t>Economy</t>
        </is>
      </c>
      <c r="E80" s="13" t="n">
        <v>280</v>
      </c>
      <c r="F80" s="13" t="n">
        <v>90</v>
      </c>
      <c r="G80" s="13" t="n">
        <v>35</v>
      </c>
      <c r="H80" s="24">
        <f>$E$80+$F$80+$G$80</f>
        <v/>
      </c>
      <c r="I80" s="23" t="n">
        <v>0.22</v>
      </c>
      <c r="J80" s="24">
        <f>$H$80/(1-$I$80)</f>
        <v/>
      </c>
      <c r="K80" s="23" t="n">
        <v>0.2</v>
      </c>
      <c r="L80" s="33">
        <f>$J$80/(1-$K$80)</f>
        <v/>
      </c>
    </row>
    <row r="81" ht="10" customHeight="1"/>
    <row r="82" ht="17" customHeight="1">
      <c r="A82" s="25" t="inlineStr">
        <is>
          <t>HOW IT WORKS</t>
        </is>
      </c>
    </row>
    <row r="83" ht="117" customHeight="1">
      <c r="A83" s="26" t="inlineStr">
        <is>
          <t xml:space="preserve">  *  Builds the minimum viable price from cost structure upward, not downward from the market.
  *  Step 1 -- Cost build-up: Base oil import parity (Group I Rs 280/L, II Rs 420/L, III Rs 680/L) + Additive package (grade-specific) + Packaging (by pack size) = Total Manufacturing Cost.
  *  Step 2 -- Pocket price floor: Total Cost / (1 - Target Margin%). Targets: 45% Super Premium, 38% Premium, 30% Mainstream, 22% Economy.
  *  Step 3 -- List price floor: Pocket Price Floor / (1 - 20% Fleet Discount). Fleet is the deepest channel, so the list price must cover this to maintain margin everywhere.
  *  F4 is a hard floor -- if the weighted synthesis falls below F4, the recommendation is raised to F4.</t>
        </is>
      </c>
    </row>
    <row r="84" ht="5" customHeight="1"/>
    <row r="85" ht="17" customHeight="1">
      <c r="A85" s="3" t="inlineStr">
        <is>
          <t>RATIONALE  --  Why this framework is used</t>
        </is>
      </c>
    </row>
    <row r="86" ht="117" customHeight="1">
      <c r="A86" s="27" t="inlineStr">
        <is>
          <t xml:space="preserve">  *  The McKinsey Price Waterfall reveals how revenue 'leaks' from list price to the price that actually reaches PSO's P&amp;L ('pocket price'). Without this, small concessions destroy profitability collectively.
  *  PSO's fleet channel is especially exposed: 20% off a list price set too low means PSO is subsidising fleet customers from its own margin -- an unsustainable practice.
  *  Target margins (45% Super Premium to 22% Economy) reflect international lubricant industry norms adjusted for Pakistan's distribution structure, dealer margins, and working capital costs.
  *  F4 also sets the minimum for fleet negotiation. Any deal deeper than 20% off list requires explicit board approval because it breaches the pocket price floor.</t>
        </is>
      </c>
    </row>
    <row r="87" ht="5" customHeight="1"/>
    <row r="88" ht="17" customHeight="1">
      <c r="A88" s="28" t="inlineStr">
        <is>
          <t>IMPLICATIONS  --  What this means for PSO pricing decisions</t>
        </is>
      </c>
    </row>
    <row r="89" ht="130" customHeight="1">
      <c r="A89" s="29" t="inlineStr">
        <is>
          <t xml:space="preserve">  *  F4 fires most often for economy-tier HDEO (20W-50, 15W-40 mineral) where Korean/Chinese imports on Daraz drive market prices below PSO's cost floor. Do NOT match these prices.
  *  Instead of cutting price below F4: (a) exit commodity packs where margin is structurally impossible, (b) reposition to 'value premium' with better packaging, or (c) explore private-label manufacturing for fleet-only packs.
  *  If F4 floor &gt; F7 floor for any grade: the margin target is correctly set above pure cost floor -- good. If F4 floor &lt; F7 floor: the margin assumption is too low and needs upward revision.
  *  Re-run F4 whenever base oil import prices shift more than 10% -- approximately every 6 months in a stable environment, more frequently during crude oil price shocks.</t>
        </is>
      </c>
    </row>
  </sheetData>
  <mergeCells count="13">
    <mergeCell ref="A2:L2"/>
    <mergeCell ref="A86:L86"/>
    <mergeCell ref="A10:L10"/>
    <mergeCell ref="A82:L82"/>
    <mergeCell ref="A85:L85"/>
    <mergeCell ref="A1:L1"/>
    <mergeCell ref="A83:L83"/>
    <mergeCell ref="A89:L89"/>
    <mergeCell ref="A88:L88"/>
    <mergeCell ref="A27:L27"/>
    <mergeCell ref="A21:L21"/>
    <mergeCell ref="A34:L34"/>
    <mergeCell ref="A4:L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6"/>
  <sheetViews>
    <sheetView workbookViewId="0">
      <pane ySplit="5" topLeftCell="A6" activePane="bottomLeft" state="frozen"/>
      <selection pane="bottomLeft" activeCell="A1" sqref="A1"/>
    </sheetView>
  </sheetViews>
  <sheetFormatPr baseColWidth="8" defaultRowHeight="15"/>
  <cols>
    <col width="28" customWidth="1" min="1" max="1"/>
    <col width="9" customWidth="1" min="2" max="2"/>
    <col width="8" customWidth="1" min="3" max="3"/>
    <col width="15" customWidth="1" min="4" max="4"/>
    <col width="20" customWidth="1" min="5" max="5"/>
    <col width="12" customWidth="1" min="6" max="6"/>
    <col width="18" customWidth="1" min="7" max="7"/>
  </cols>
  <sheetData>
    <row r="1" ht="28" customHeight="1">
      <c r="A1" s="10" t="inlineStr">
        <is>
          <t>F5 -- OEM / API SPECIFICATION PREMIUM  (Weight: 10%)</t>
        </is>
      </c>
    </row>
    <row r="2" ht="45" customHeight="1">
      <c r="A2" s="2" t="inlineStr">
        <is>
          <t>Anchors to economy-tier (Kixx/Kixx G1) market price per grade as baseline. Applies spec uplift: 28% fully synthetic (API SP), 18% semi-synthetic (API SN+), 8% mineral (API SN), 0% economy. FORMULA: F5 Price = Economy_Baseline x (1 + Spec_Uplift%)</t>
        </is>
      </c>
    </row>
    <row r="3" ht="8" customHeight="1"/>
    <row r="4" ht="18" customHeight="1">
      <c r="A4" s="3" t="inlineStr">
        <is>
          <t>PARAMETER TABLE 1 -- Economy Baseline Prices by Grade (Kixx/Kixx G1 medians, PKR/L)</t>
        </is>
      </c>
    </row>
    <row r="5" ht="17" customHeight="1">
      <c r="A5" s="4" t="inlineStr">
        <is>
          <t>Grade</t>
        </is>
      </c>
      <c r="B5" s="4" t="inlineStr">
        <is>
          <t>Economy Baseline (PKR/L)</t>
        </is>
      </c>
      <c r="C5" s="4" t="inlineStr">
        <is>
          <t>Listings</t>
        </is>
      </c>
      <c r="D5" s="4" t="inlineStr">
        <is>
          <t>Notes</t>
        </is>
      </c>
    </row>
    <row r="6">
      <c r="A6" s="8" t="inlineStr">
        <is>
          <t>0W-20</t>
        </is>
      </c>
      <c r="B6" s="18" t="n">
        <v>4012</v>
      </c>
      <c r="C6" s="11" t="n">
        <v>1</v>
      </c>
      <c r="D6" s="8" t="inlineStr">
        <is>
          <t>Kixx median</t>
        </is>
      </c>
    </row>
    <row r="7">
      <c r="A7" s="8" t="inlineStr">
        <is>
          <t>5W-20</t>
        </is>
      </c>
      <c r="B7" s="18" t="n">
        <v>1833</v>
      </c>
      <c r="C7" s="11" t="n">
        <v>0</v>
      </c>
      <c r="D7" s="8" t="inlineStr">
        <is>
          <t>Market min (economy proxy)</t>
        </is>
      </c>
    </row>
    <row r="8">
      <c r="A8" s="8" t="inlineStr">
        <is>
          <t>5W-30</t>
        </is>
      </c>
      <c r="B8" s="18" t="n">
        <v>1125</v>
      </c>
      <c r="C8" s="11" t="n">
        <v>14</v>
      </c>
      <c r="D8" s="8" t="inlineStr">
        <is>
          <t>Kixx median</t>
        </is>
      </c>
    </row>
    <row r="9">
      <c r="A9" s="8" t="inlineStr">
        <is>
          <t>5W-40</t>
        </is>
      </c>
      <c r="B9" s="18" t="n">
        <v>3000</v>
      </c>
      <c r="C9" s="11" t="n">
        <v>1</v>
      </c>
      <c r="D9" s="8" t="inlineStr">
        <is>
          <t>Kixx median</t>
        </is>
      </c>
    </row>
    <row r="10">
      <c r="A10" s="8" t="inlineStr">
        <is>
          <t>10W-40</t>
        </is>
      </c>
      <c r="B10" s="18" t="n">
        <v>1060</v>
      </c>
      <c r="C10" s="11" t="n">
        <v>28</v>
      </c>
      <c r="D10" s="8" t="inlineStr">
        <is>
          <t>Kixx median</t>
        </is>
      </c>
    </row>
    <row r="11">
      <c r="A11" s="8" t="inlineStr">
        <is>
          <t>15W-40</t>
        </is>
      </c>
      <c r="B11" s="18" t="n">
        <v>1088</v>
      </c>
      <c r="C11" s="11" t="n">
        <v>1</v>
      </c>
      <c r="D11" s="8" t="inlineStr">
        <is>
          <t>Kixx median</t>
        </is>
      </c>
    </row>
    <row r="12">
      <c r="A12" s="8" t="inlineStr">
        <is>
          <t>20W-50</t>
        </is>
      </c>
      <c r="B12" s="18" t="n">
        <v>1239</v>
      </c>
      <c r="C12" s="11" t="n">
        <v>54</v>
      </c>
      <c r="D12" s="8" t="inlineStr">
        <is>
          <t>Kixx median</t>
        </is>
      </c>
    </row>
    <row r="13" ht="8" customHeight="1"/>
    <row r="14" ht="18" customHeight="1">
      <c r="A14" s="3" t="inlineStr">
        <is>
          <t>PARAMETER TABLE 2 -- Spec Uplift by Tier</t>
        </is>
      </c>
    </row>
    <row r="15" ht="17" customHeight="1">
      <c r="A15" s="4" t="inlineStr">
        <is>
          <t>Tier</t>
        </is>
      </c>
      <c r="B15" s="4" t="inlineStr">
        <is>
          <t>API/ACEA Spec</t>
        </is>
      </c>
      <c r="C15" s="4" t="inlineStr">
        <is>
          <t>Uplift %</t>
        </is>
      </c>
      <c r="D15" s="4" t="inlineStr">
        <is>
          <t>Rationale</t>
        </is>
      </c>
    </row>
    <row r="16">
      <c r="A16" s="7" t="inlineStr">
        <is>
          <t>Super Premium</t>
        </is>
      </c>
      <c r="B16" s="8" t="inlineStr">
        <is>
          <t>API SP / ACEA A5</t>
        </is>
      </c>
      <c r="C16" s="23" t="n">
        <v>0.28</v>
      </c>
      <c r="D16" s="8" t="inlineStr">
        <is>
          <t>Fully synthetic Group III -- OEM fuel economy approvals command 28% premium</t>
        </is>
      </c>
    </row>
    <row r="17">
      <c r="A17" s="7" t="inlineStr">
        <is>
          <t>Premium</t>
        </is>
      </c>
      <c r="B17" s="8" t="inlineStr">
        <is>
          <t>API SN+ / ACEA A3</t>
        </is>
      </c>
      <c r="C17" s="23" t="n">
        <v>0.18</v>
      </c>
      <c r="D17" s="8" t="inlineStr">
        <is>
          <t>Semi-synthetic Group II/III blend -- common fleet spec approval, 18% above economy</t>
        </is>
      </c>
    </row>
    <row r="18">
      <c r="A18" s="7" t="inlineStr">
        <is>
          <t>Mainstream</t>
        </is>
      </c>
      <c r="B18" s="8" t="inlineStr">
        <is>
          <t>API SN / ACEA A3</t>
        </is>
      </c>
      <c r="C18" s="23" t="n">
        <v>0.08</v>
      </c>
      <c r="D18" s="8" t="inlineStr">
        <is>
          <t>Mineral / part-synthetic Group I/II -- basic OEM approval, 8% above economy</t>
        </is>
      </c>
    </row>
    <row r="19">
      <c r="A19" s="7" t="inlineStr">
        <is>
          <t>Economy</t>
        </is>
      </c>
      <c r="B19" s="8" t="inlineStr">
        <is>
          <t>API SN / SM</t>
        </is>
      </c>
      <c r="C19" s="23" t="n">
        <v>0</v>
      </c>
      <c r="D19" s="8" t="inlineStr">
        <is>
          <t>Mineral Group I -- baseline, no spec uplift</t>
        </is>
      </c>
    </row>
    <row r="20" ht="8" customHeight="1"/>
    <row r="21" ht="18" customHeight="1">
      <c r="A21" s="3" t="inlineStr">
        <is>
          <t>CALCULATION TABLE -- F5 Price per PSO SKU</t>
        </is>
      </c>
    </row>
    <row r="22" ht="17" customHeight="1">
      <c r="A22" s="4" t="inlineStr">
        <is>
          <t>Brand</t>
        </is>
      </c>
      <c r="B22" s="4" t="inlineStr">
        <is>
          <t>Oil Type</t>
        </is>
      </c>
      <c r="C22" s="4" t="inlineStr">
        <is>
          <t>Grade</t>
        </is>
      </c>
      <c r="D22" s="4" t="inlineStr">
        <is>
          <t>Tier</t>
        </is>
      </c>
      <c r="E22" s="4" t="inlineStr">
        <is>
          <t>Economy Baseline</t>
        </is>
      </c>
      <c r="F22" s="4" t="inlineStr">
        <is>
          <t>Spec Uplift</t>
        </is>
      </c>
      <c r="G22" s="4" t="inlineStr">
        <is>
          <t>F5 Price</t>
        </is>
      </c>
    </row>
    <row r="23">
      <c r="A23" s="8" t="inlineStr">
        <is>
          <t>PSO Carient SPRO</t>
        </is>
      </c>
      <c r="B23" s="8" t="inlineStr">
        <is>
          <t>PCMO</t>
        </is>
      </c>
      <c r="C23" s="8" t="inlineStr">
        <is>
          <t>15W-40</t>
        </is>
      </c>
      <c r="D23" s="8" t="inlineStr">
        <is>
          <t>Economy</t>
        </is>
      </c>
      <c r="E23" s="13" t="n">
        <v>1088</v>
      </c>
      <c r="F23" s="23" t="n">
        <v>0</v>
      </c>
      <c r="G23" s="33">
        <f>$E$23*(1+$F$23)</f>
        <v/>
      </c>
    </row>
    <row r="24">
      <c r="A24" s="8" t="inlineStr">
        <is>
          <t>PSO Carient SPRO</t>
        </is>
      </c>
      <c r="B24" s="8" t="inlineStr">
        <is>
          <t>PCMO</t>
        </is>
      </c>
      <c r="C24" s="8" t="inlineStr">
        <is>
          <t>20W-50</t>
        </is>
      </c>
      <c r="D24" s="8" t="inlineStr">
        <is>
          <t>Economy</t>
        </is>
      </c>
      <c r="E24" s="13" t="n">
        <v>1239</v>
      </c>
      <c r="F24" s="23" t="n">
        <v>0</v>
      </c>
      <c r="G24" s="33">
        <f>$E$24*(1+$F$24)</f>
        <v/>
      </c>
    </row>
    <row r="25">
      <c r="A25" s="8" t="inlineStr">
        <is>
          <t>PSO Carient SPRO</t>
        </is>
      </c>
      <c r="B25" s="8" t="inlineStr">
        <is>
          <t>PCMO</t>
        </is>
      </c>
      <c r="C25" s="8" t="inlineStr">
        <is>
          <t>15W-40</t>
        </is>
      </c>
      <c r="D25" s="8" t="inlineStr">
        <is>
          <t>Economy</t>
        </is>
      </c>
      <c r="E25" s="13" t="n">
        <v>1088</v>
      </c>
      <c r="F25" s="23" t="n">
        <v>0</v>
      </c>
      <c r="G25" s="33">
        <f>$E$25*(1+$F$25)</f>
        <v/>
      </c>
    </row>
    <row r="26">
      <c r="A26" s="8" t="inlineStr">
        <is>
          <t>PSO Carient SPRO</t>
        </is>
      </c>
      <c r="B26" s="8" t="inlineStr">
        <is>
          <t>PCMO</t>
        </is>
      </c>
      <c r="C26" s="8" t="inlineStr">
        <is>
          <t>20W-50</t>
        </is>
      </c>
      <c r="D26" s="8" t="inlineStr">
        <is>
          <t>Economy</t>
        </is>
      </c>
      <c r="E26" s="13" t="n">
        <v>1239</v>
      </c>
      <c r="F26" s="23" t="n">
        <v>0</v>
      </c>
      <c r="G26" s="33">
        <f>$E$26*(1+$F$26)</f>
        <v/>
      </c>
    </row>
    <row r="27">
      <c r="A27" s="8" t="inlineStr">
        <is>
          <t>PSO Carient FS</t>
        </is>
      </c>
      <c r="B27" s="8" t="inlineStr">
        <is>
          <t>PCMO</t>
        </is>
      </c>
      <c r="C27" s="8" t="inlineStr">
        <is>
          <t>5W-30</t>
        </is>
      </c>
      <c r="D27" s="8" t="inlineStr">
        <is>
          <t>Premium</t>
        </is>
      </c>
      <c r="E27" s="13" t="n">
        <v>1125</v>
      </c>
      <c r="F27" s="23" t="n">
        <v>0.18</v>
      </c>
      <c r="G27" s="33">
        <f>$E$27*(1+$F$27)</f>
        <v/>
      </c>
    </row>
    <row r="28">
      <c r="A28" s="8" t="inlineStr">
        <is>
          <t>PSO Carient FS</t>
        </is>
      </c>
      <c r="B28" s="8" t="inlineStr">
        <is>
          <t>PCMO</t>
        </is>
      </c>
      <c r="C28" s="8" t="inlineStr">
        <is>
          <t>5W-40</t>
        </is>
      </c>
      <c r="D28" s="8" t="inlineStr">
        <is>
          <t>Premium</t>
        </is>
      </c>
      <c r="E28" s="13" t="n">
        <v>3000</v>
      </c>
      <c r="F28" s="23" t="n">
        <v>0.18</v>
      </c>
      <c r="G28" s="33">
        <f>$E$28*(1+$F$28)</f>
        <v/>
      </c>
    </row>
    <row r="29">
      <c r="A29" s="8" t="inlineStr">
        <is>
          <t>PSO Carient FS</t>
        </is>
      </c>
      <c r="B29" s="8" t="inlineStr">
        <is>
          <t>PCMO</t>
        </is>
      </c>
      <c r="C29" s="8" t="inlineStr">
        <is>
          <t>10W-40</t>
        </is>
      </c>
      <c r="D29" s="8" t="inlineStr">
        <is>
          <t>Premium</t>
        </is>
      </c>
      <c r="E29" s="13" t="n">
        <v>1060</v>
      </c>
      <c r="F29" s="23" t="n">
        <v>0.18</v>
      </c>
      <c r="G29" s="33">
        <f>$E$29*(1+$F$29)</f>
        <v/>
      </c>
    </row>
    <row r="30">
      <c r="A30" s="8" t="inlineStr">
        <is>
          <t>PSO Carient Ultra</t>
        </is>
      </c>
      <c r="B30" s="8" t="inlineStr">
        <is>
          <t>PCMO</t>
        </is>
      </c>
      <c r="C30" s="8" t="inlineStr">
        <is>
          <t>0W-20</t>
        </is>
      </c>
      <c r="D30" s="8" t="inlineStr">
        <is>
          <t>Super Premium</t>
        </is>
      </c>
      <c r="E30" s="13" t="n">
        <v>4012</v>
      </c>
      <c r="F30" s="23" t="n">
        <v>0.28</v>
      </c>
      <c r="G30" s="33">
        <f>$E$30*(1+$F$30)</f>
        <v/>
      </c>
    </row>
    <row r="31">
      <c r="A31" s="8" t="inlineStr">
        <is>
          <t>PSO Carient Ultra</t>
        </is>
      </c>
      <c r="B31" s="8" t="inlineStr">
        <is>
          <t>PCMO</t>
        </is>
      </c>
      <c r="C31" s="8" t="inlineStr">
        <is>
          <t>5W-20</t>
        </is>
      </c>
      <c r="D31" s="8" t="inlineStr">
        <is>
          <t>Super Premium</t>
        </is>
      </c>
      <c r="E31" s="13" t="n">
        <v>1833</v>
      </c>
      <c r="F31" s="23" t="n">
        <v>0.28</v>
      </c>
      <c r="G31" s="33">
        <f>$E$31*(1+$F$31)</f>
        <v/>
      </c>
    </row>
    <row r="32">
      <c r="A32" s="8" t="inlineStr">
        <is>
          <t>PSO Carient Ultra</t>
        </is>
      </c>
      <c r="B32" s="8" t="inlineStr">
        <is>
          <t>PCMO</t>
        </is>
      </c>
      <c r="C32" s="8" t="inlineStr">
        <is>
          <t>5W-30</t>
        </is>
      </c>
      <c r="D32" s="8" t="inlineStr">
        <is>
          <t>Super Premium</t>
        </is>
      </c>
      <c r="E32" s="13" t="n">
        <v>1125</v>
      </c>
      <c r="F32" s="23" t="n">
        <v>0.28</v>
      </c>
      <c r="G32" s="33">
        <f>$E$32*(1+$F$32)</f>
        <v/>
      </c>
    </row>
    <row r="33">
      <c r="A33" s="8" t="inlineStr">
        <is>
          <t>PSO Carient Ultra</t>
        </is>
      </c>
      <c r="B33" s="8" t="inlineStr">
        <is>
          <t>PCMO</t>
        </is>
      </c>
      <c r="C33" s="8" t="inlineStr">
        <is>
          <t>5W-40</t>
        </is>
      </c>
      <c r="D33" s="8" t="inlineStr">
        <is>
          <t>Super Premium</t>
        </is>
      </c>
      <c r="E33" s="13" t="n">
        <v>3000</v>
      </c>
      <c r="F33" s="23" t="n">
        <v>0.28</v>
      </c>
      <c r="G33" s="33">
        <f>$E$33*(1+$F$33)</f>
        <v/>
      </c>
    </row>
    <row r="34">
      <c r="A34" s="8" t="inlineStr">
        <is>
          <t>PSO Carient Ultra</t>
        </is>
      </c>
      <c r="B34" s="8" t="inlineStr">
        <is>
          <t>PCMO</t>
        </is>
      </c>
      <c r="C34" s="8" t="inlineStr">
        <is>
          <t>0W-20</t>
        </is>
      </c>
      <c r="D34" s="8" t="inlineStr">
        <is>
          <t>Super Premium</t>
        </is>
      </c>
      <c r="E34" s="13" t="n">
        <v>4012</v>
      </c>
      <c r="F34" s="23" t="n">
        <v>0.28</v>
      </c>
      <c r="G34" s="33">
        <f>$E$34*(1+$F$34)</f>
        <v/>
      </c>
    </row>
    <row r="35">
      <c r="A35" s="8" t="inlineStr">
        <is>
          <t>PSO Carient Ultra</t>
        </is>
      </c>
      <c r="B35" s="8" t="inlineStr">
        <is>
          <t>PCMO</t>
        </is>
      </c>
      <c r="C35" s="8" t="inlineStr">
        <is>
          <t>5W-20</t>
        </is>
      </c>
      <c r="D35" s="8" t="inlineStr">
        <is>
          <t>Super Premium</t>
        </is>
      </c>
      <c r="E35" s="13" t="n">
        <v>1833</v>
      </c>
      <c r="F35" s="23" t="n">
        <v>0.28</v>
      </c>
      <c r="G35" s="33">
        <f>$E$35*(1+$F$35)</f>
        <v/>
      </c>
    </row>
    <row r="36">
      <c r="A36" s="8" t="inlineStr">
        <is>
          <t>PSO Carient Ultra</t>
        </is>
      </c>
      <c r="B36" s="8" t="inlineStr">
        <is>
          <t>PCMO</t>
        </is>
      </c>
      <c r="C36" s="8" t="inlineStr">
        <is>
          <t>5W-30</t>
        </is>
      </c>
      <c r="D36" s="8" t="inlineStr">
        <is>
          <t>Super Premium</t>
        </is>
      </c>
      <c r="E36" s="13" t="n">
        <v>1125</v>
      </c>
      <c r="F36" s="23" t="n">
        <v>0.28</v>
      </c>
      <c r="G36" s="33">
        <f>$E$36*(1+$F$36)</f>
        <v/>
      </c>
    </row>
    <row r="37">
      <c r="A37" s="8" t="inlineStr">
        <is>
          <t>PSO Carient Ultra</t>
        </is>
      </c>
      <c r="B37" s="8" t="inlineStr">
        <is>
          <t>PCMO</t>
        </is>
      </c>
      <c r="C37" s="8" t="inlineStr">
        <is>
          <t>5W-40</t>
        </is>
      </c>
      <c r="D37" s="8" t="inlineStr">
        <is>
          <t>Super Premium</t>
        </is>
      </c>
      <c r="E37" s="13" t="n">
        <v>3000</v>
      </c>
      <c r="F37" s="23" t="n">
        <v>0.28</v>
      </c>
      <c r="G37" s="33">
        <f>$E$37*(1+$F$37)</f>
        <v/>
      </c>
    </row>
    <row r="38">
      <c r="A38" s="8" t="inlineStr">
        <is>
          <t>PSO Carient Ultra</t>
        </is>
      </c>
      <c r="B38" s="8" t="inlineStr">
        <is>
          <t>PCMO</t>
        </is>
      </c>
      <c r="C38" s="8" t="inlineStr">
        <is>
          <t>0W-20</t>
        </is>
      </c>
      <c r="D38" s="8" t="inlineStr">
        <is>
          <t>Super Premium</t>
        </is>
      </c>
      <c r="E38" s="13" t="n">
        <v>4012</v>
      </c>
      <c r="F38" s="23" t="n">
        <v>0.28</v>
      </c>
      <c r="G38" s="33">
        <f>$E$38*(1+$F$38)</f>
        <v/>
      </c>
    </row>
    <row r="39">
      <c r="A39" s="8" t="inlineStr">
        <is>
          <t>PSO Carient Ultra</t>
        </is>
      </c>
      <c r="B39" s="8" t="inlineStr">
        <is>
          <t>PCMO</t>
        </is>
      </c>
      <c r="C39" s="8" t="inlineStr">
        <is>
          <t>5W-20</t>
        </is>
      </c>
      <c r="D39" s="8" t="inlineStr">
        <is>
          <t>Super Premium</t>
        </is>
      </c>
      <c r="E39" s="13" t="n">
        <v>1833</v>
      </c>
      <c r="F39" s="23" t="n">
        <v>0.28</v>
      </c>
      <c r="G39" s="33">
        <f>$E$39*(1+$F$39)</f>
        <v/>
      </c>
    </row>
    <row r="40">
      <c r="A40" s="8" t="inlineStr">
        <is>
          <t>PSO Carient Ultra</t>
        </is>
      </c>
      <c r="B40" s="8" t="inlineStr">
        <is>
          <t>PCMO</t>
        </is>
      </c>
      <c r="C40" s="8" t="inlineStr">
        <is>
          <t>5W-30</t>
        </is>
      </c>
      <c r="D40" s="8" t="inlineStr">
        <is>
          <t>Super Premium</t>
        </is>
      </c>
      <c r="E40" s="13" t="n">
        <v>1125</v>
      </c>
      <c r="F40" s="23" t="n">
        <v>0.28</v>
      </c>
      <c r="G40" s="33">
        <f>$E$40*(1+$F$40)</f>
        <v/>
      </c>
    </row>
    <row r="41">
      <c r="A41" s="8" t="inlineStr">
        <is>
          <t>PSO Carient Ultra</t>
        </is>
      </c>
      <c r="B41" s="8" t="inlineStr">
        <is>
          <t>PCMO</t>
        </is>
      </c>
      <c r="C41" s="8" t="inlineStr">
        <is>
          <t>5W-40</t>
        </is>
      </c>
      <c r="D41" s="8" t="inlineStr">
        <is>
          <t>Super Premium</t>
        </is>
      </c>
      <c r="E41" s="13" t="n">
        <v>3000</v>
      </c>
      <c r="F41" s="23" t="n">
        <v>0.28</v>
      </c>
      <c r="G41" s="33">
        <f>$E$41*(1+$F$41)</f>
        <v/>
      </c>
    </row>
    <row r="42">
      <c r="A42" s="8" t="inlineStr">
        <is>
          <t>PSO Carient Plus</t>
        </is>
      </c>
      <c r="B42" s="8" t="inlineStr">
        <is>
          <t>PCMO</t>
        </is>
      </c>
      <c r="C42" s="8" t="inlineStr">
        <is>
          <t>10W-40</t>
        </is>
      </c>
      <c r="D42" s="8" t="inlineStr">
        <is>
          <t>Mainstream</t>
        </is>
      </c>
      <c r="E42" s="13" t="n">
        <v>1060</v>
      </c>
      <c r="F42" s="23" t="n">
        <v>0.08</v>
      </c>
      <c r="G42" s="33">
        <f>$E$42*(1+$F$42)</f>
        <v/>
      </c>
    </row>
    <row r="43">
      <c r="A43" s="8" t="inlineStr">
        <is>
          <t>PSO Carient Plus</t>
        </is>
      </c>
      <c r="B43" s="8" t="inlineStr">
        <is>
          <t>PCMO</t>
        </is>
      </c>
      <c r="C43" s="8" t="inlineStr">
        <is>
          <t>15W-40</t>
        </is>
      </c>
      <c r="D43" s="8" t="inlineStr">
        <is>
          <t>Mainstream</t>
        </is>
      </c>
      <c r="E43" s="13" t="n">
        <v>1088</v>
      </c>
      <c r="F43" s="23" t="n">
        <v>0.08</v>
      </c>
      <c r="G43" s="33">
        <f>$E$43*(1+$F$43)</f>
        <v/>
      </c>
    </row>
    <row r="44">
      <c r="A44" s="8" t="inlineStr">
        <is>
          <t>PSO Carient Plus</t>
        </is>
      </c>
      <c r="B44" s="8" t="inlineStr">
        <is>
          <t>PCMO</t>
        </is>
      </c>
      <c r="C44" s="8" t="inlineStr">
        <is>
          <t>20W-50</t>
        </is>
      </c>
      <c r="D44" s="8" t="inlineStr">
        <is>
          <t>Mainstream</t>
        </is>
      </c>
      <c r="E44" s="13" t="n">
        <v>1239</v>
      </c>
      <c r="F44" s="23" t="n">
        <v>0.08</v>
      </c>
      <c r="G44" s="33">
        <f>$E$44*(1+$F$44)</f>
        <v/>
      </c>
    </row>
    <row r="45">
      <c r="A45" s="8" t="inlineStr">
        <is>
          <t>PSO Carient Plus</t>
        </is>
      </c>
      <c r="B45" s="8" t="inlineStr">
        <is>
          <t>PCMO</t>
        </is>
      </c>
      <c r="C45" s="8" t="inlineStr">
        <is>
          <t>10W-40</t>
        </is>
      </c>
      <c r="D45" s="8" t="inlineStr">
        <is>
          <t>Mainstream</t>
        </is>
      </c>
      <c r="E45" s="13" t="n">
        <v>1060</v>
      </c>
      <c r="F45" s="23" t="n">
        <v>0.08</v>
      </c>
      <c r="G45" s="33">
        <f>$E$45*(1+$F$45)</f>
        <v/>
      </c>
    </row>
    <row r="46">
      <c r="A46" s="8" t="inlineStr">
        <is>
          <t>PSO Carient Plus</t>
        </is>
      </c>
      <c r="B46" s="8" t="inlineStr">
        <is>
          <t>PCMO</t>
        </is>
      </c>
      <c r="C46" s="8" t="inlineStr">
        <is>
          <t>15W-40</t>
        </is>
      </c>
      <c r="D46" s="8" t="inlineStr">
        <is>
          <t>Mainstream</t>
        </is>
      </c>
      <c r="E46" s="13" t="n">
        <v>1088</v>
      </c>
      <c r="F46" s="23" t="n">
        <v>0.08</v>
      </c>
      <c r="G46" s="33">
        <f>$E$46*(1+$F$46)</f>
        <v/>
      </c>
    </row>
    <row r="47">
      <c r="A47" s="8" t="inlineStr">
        <is>
          <t>PSO Carient Plus</t>
        </is>
      </c>
      <c r="B47" s="8" t="inlineStr">
        <is>
          <t>PCMO</t>
        </is>
      </c>
      <c r="C47" s="8" t="inlineStr">
        <is>
          <t>20W-50</t>
        </is>
      </c>
      <c r="D47" s="8" t="inlineStr">
        <is>
          <t>Mainstream</t>
        </is>
      </c>
      <c r="E47" s="13" t="n">
        <v>1239</v>
      </c>
      <c r="F47" s="23" t="n">
        <v>0.08</v>
      </c>
      <c r="G47" s="33">
        <f>$E$47*(1+$F$47)</f>
        <v/>
      </c>
    </row>
    <row r="48">
      <c r="A48" s="8" t="inlineStr">
        <is>
          <t>PSO Carient Plus</t>
        </is>
      </c>
      <c r="B48" s="8" t="inlineStr">
        <is>
          <t>PCMO</t>
        </is>
      </c>
      <c r="C48" s="8" t="inlineStr">
        <is>
          <t>10W-40</t>
        </is>
      </c>
      <c r="D48" s="8" t="inlineStr">
        <is>
          <t>Mainstream</t>
        </is>
      </c>
      <c r="E48" s="13" t="n">
        <v>1060</v>
      </c>
      <c r="F48" s="23" t="n">
        <v>0.08</v>
      </c>
      <c r="G48" s="33">
        <f>$E$48*(1+$F$48)</f>
        <v/>
      </c>
    </row>
    <row r="49">
      <c r="A49" s="8" t="inlineStr">
        <is>
          <t>PSO Carient Plus</t>
        </is>
      </c>
      <c r="B49" s="8" t="inlineStr">
        <is>
          <t>PCMO</t>
        </is>
      </c>
      <c r="C49" s="8" t="inlineStr">
        <is>
          <t>15W-40</t>
        </is>
      </c>
      <c r="D49" s="8" t="inlineStr">
        <is>
          <t>Mainstream</t>
        </is>
      </c>
      <c r="E49" s="13" t="n">
        <v>1088</v>
      </c>
      <c r="F49" s="23" t="n">
        <v>0.08</v>
      </c>
      <c r="G49" s="33">
        <f>$E$49*(1+$F$49)</f>
        <v/>
      </c>
    </row>
    <row r="50">
      <c r="A50" s="8" t="inlineStr">
        <is>
          <t>PSO Carient Plus</t>
        </is>
      </c>
      <c r="B50" s="8" t="inlineStr">
        <is>
          <t>PCMO</t>
        </is>
      </c>
      <c r="C50" s="8" t="inlineStr">
        <is>
          <t>20W-50</t>
        </is>
      </c>
      <c r="D50" s="8" t="inlineStr">
        <is>
          <t>Mainstream</t>
        </is>
      </c>
      <c r="E50" s="13" t="n">
        <v>1239</v>
      </c>
      <c r="F50" s="23" t="n">
        <v>0.08</v>
      </c>
      <c r="G50" s="33">
        <f>$E$50*(1+$F$50)</f>
        <v/>
      </c>
    </row>
    <row r="51">
      <c r="A51" s="8" t="inlineStr">
        <is>
          <t>PSO Blaze 4T</t>
        </is>
      </c>
      <c r="B51" s="8" t="inlineStr">
        <is>
          <t>MCO</t>
        </is>
      </c>
      <c r="C51" s="8" t="inlineStr">
        <is>
          <t>10W-40</t>
        </is>
      </c>
      <c r="D51" s="8" t="inlineStr">
        <is>
          <t>Mainstream</t>
        </is>
      </c>
      <c r="E51" s="13" t="n">
        <v>1060</v>
      </c>
      <c r="F51" s="23" t="n">
        <v>0.08</v>
      </c>
      <c r="G51" s="33">
        <f>$E$51*(1+$F$51)</f>
        <v/>
      </c>
    </row>
    <row r="52">
      <c r="A52" s="8" t="inlineStr">
        <is>
          <t>PSO Blaze 4T</t>
        </is>
      </c>
      <c r="B52" s="8" t="inlineStr">
        <is>
          <t>MCO</t>
        </is>
      </c>
      <c r="C52" s="8" t="inlineStr">
        <is>
          <t>20W-50</t>
        </is>
      </c>
      <c r="D52" s="8" t="inlineStr">
        <is>
          <t>Mainstream</t>
        </is>
      </c>
      <c r="E52" s="13" t="n">
        <v>1239</v>
      </c>
      <c r="F52" s="23" t="n">
        <v>0.08</v>
      </c>
      <c r="G52" s="33">
        <f>$E$52*(1+$F$52)</f>
        <v/>
      </c>
    </row>
    <row r="53">
      <c r="A53" s="8" t="inlineStr">
        <is>
          <t>PSO Blaze 4T</t>
        </is>
      </c>
      <c r="B53" s="8" t="inlineStr">
        <is>
          <t>MCO</t>
        </is>
      </c>
      <c r="C53" s="8" t="inlineStr">
        <is>
          <t>10W-40</t>
        </is>
      </c>
      <c r="D53" s="8" t="inlineStr">
        <is>
          <t>Mainstream</t>
        </is>
      </c>
      <c r="E53" s="13" t="n">
        <v>1060</v>
      </c>
      <c r="F53" s="23" t="n">
        <v>0.08</v>
      </c>
      <c r="G53" s="33">
        <f>$E$53*(1+$F$53)</f>
        <v/>
      </c>
    </row>
    <row r="54">
      <c r="A54" s="8" t="inlineStr">
        <is>
          <t>PSO Blaze 4T</t>
        </is>
      </c>
      <c r="B54" s="8" t="inlineStr">
        <is>
          <t>MCO</t>
        </is>
      </c>
      <c r="C54" s="8" t="inlineStr">
        <is>
          <t>20W-50</t>
        </is>
      </c>
      <c r="D54" s="8" t="inlineStr">
        <is>
          <t>Mainstream</t>
        </is>
      </c>
      <c r="E54" s="13" t="n">
        <v>1239</v>
      </c>
      <c r="F54" s="23" t="n">
        <v>0.08</v>
      </c>
      <c r="G54" s="33">
        <f>$E$54*(1+$F$54)</f>
        <v/>
      </c>
    </row>
    <row r="55">
      <c r="A55" s="8" t="inlineStr">
        <is>
          <t>PSO Blaze Xtreme</t>
        </is>
      </c>
      <c r="B55" s="8" t="inlineStr">
        <is>
          <t>MCO</t>
        </is>
      </c>
      <c r="C55" s="8" t="inlineStr">
        <is>
          <t>10W-40</t>
        </is>
      </c>
      <c r="D55" s="8" t="inlineStr">
        <is>
          <t>Premium</t>
        </is>
      </c>
      <c r="E55" s="13" t="n">
        <v>1060</v>
      </c>
      <c r="F55" s="23" t="n">
        <v>0.18</v>
      </c>
      <c r="G55" s="33">
        <f>$E$55*(1+$F$55)</f>
        <v/>
      </c>
    </row>
    <row r="56">
      <c r="A56" s="8" t="inlineStr">
        <is>
          <t>PSO DEO 3000</t>
        </is>
      </c>
      <c r="B56" s="8" t="inlineStr">
        <is>
          <t>HDEO</t>
        </is>
      </c>
      <c r="C56" s="8" t="inlineStr">
        <is>
          <t>15W-40</t>
        </is>
      </c>
      <c r="D56" s="8" t="inlineStr">
        <is>
          <t>Mainstream</t>
        </is>
      </c>
      <c r="E56" s="13" t="n">
        <v>1088</v>
      </c>
      <c r="F56" s="23" t="n">
        <v>0.08</v>
      </c>
      <c r="G56" s="33">
        <f>$E$56*(1+$F$56)</f>
        <v/>
      </c>
    </row>
    <row r="57">
      <c r="A57" s="8" t="inlineStr">
        <is>
          <t>PSO DEO 3000</t>
        </is>
      </c>
      <c r="B57" s="8" t="inlineStr">
        <is>
          <t>HDEO</t>
        </is>
      </c>
      <c r="C57" s="8" t="inlineStr">
        <is>
          <t>20W-50</t>
        </is>
      </c>
      <c r="D57" s="8" t="inlineStr">
        <is>
          <t>Mainstream</t>
        </is>
      </c>
      <c r="E57" s="13" t="n">
        <v>1239</v>
      </c>
      <c r="F57" s="23" t="n">
        <v>0.08</v>
      </c>
      <c r="G57" s="33">
        <f>$E$57*(1+$F$57)</f>
        <v/>
      </c>
    </row>
    <row r="58">
      <c r="A58" s="8" t="inlineStr">
        <is>
          <t>PSO DEO 6000</t>
        </is>
      </c>
      <c r="B58" s="8" t="inlineStr">
        <is>
          <t>HDEO</t>
        </is>
      </c>
      <c r="C58" s="8" t="inlineStr">
        <is>
          <t>15W-40</t>
        </is>
      </c>
      <c r="D58" s="8" t="inlineStr">
        <is>
          <t>Premium</t>
        </is>
      </c>
      <c r="E58" s="13" t="n">
        <v>1088</v>
      </c>
      <c r="F58" s="23" t="n">
        <v>0.18</v>
      </c>
      <c r="G58" s="33">
        <f>$E$58*(1+$F$58)</f>
        <v/>
      </c>
    </row>
    <row r="59">
      <c r="A59" s="8" t="inlineStr">
        <is>
          <t>PSO DEO 6000</t>
        </is>
      </c>
      <c r="B59" s="8" t="inlineStr">
        <is>
          <t>HDEO</t>
        </is>
      </c>
      <c r="C59" s="8" t="inlineStr">
        <is>
          <t>15W-40</t>
        </is>
      </c>
      <c r="D59" s="8" t="inlineStr">
        <is>
          <t>Premium</t>
        </is>
      </c>
      <c r="E59" s="13" t="n">
        <v>1088</v>
      </c>
      <c r="F59" s="23" t="n">
        <v>0.18</v>
      </c>
      <c r="G59" s="33">
        <f>$E$59*(1+$F$59)</f>
        <v/>
      </c>
    </row>
    <row r="60">
      <c r="A60" s="8" t="inlineStr">
        <is>
          <t>PSO DEO 8000</t>
        </is>
      </c>
      <c r="B60" s="8" t="inlineStr">
        <is>
          <t>HDEO</t>
        </is>
      </c>
      <c r="C60" s="8" t="inlineStr">
        <is>
          <t>10W-40</t>
        </is>
      </c>
      <c r="D60" s="8" t="inlineStr">
        <is>
          <t>Super Premium</t>
        </is>
      </c>
      <c r="E60" s="13" t="n">
        <v>1060</v>
      </c>
      <c r="F60" s="23" t="n">
        <v>0.28</v>
      </c>
      <c r="G60" s="33">
        <f>$E$60*(1+$F$60)</f>
        <v/>
      </c>
    </row>
    <row r="61">
      <c r="A61" s="8" t="inlineStr">
        <is>
          <t>PSO DEO 8000</t>
        </is>
      </c>
      <c r="B61" s="8" t="inlineStr">
        <is>
          <t>HDEO</t>
        </is>
      </c>
      <c r="C61" s="8" t="inlineStr">
        <is>
          <t>15W-40</t>
        </is>
      </c>
      <c r="D61" s="8" t="inlineStr">
        <is>
          <t>Super Premium</t>
        </is>
      </c>
      <c r="E61" s="13" t="n">
        <v>1088</v>
      </c>
      <c r="F61" s="23" t="n">
        <v>0.28</v>
      </c>
      <c r="G61" s="33">
        <f>$E$61*(1+$F$61)</f>
        <v/>
      </c>
    </row>
    <row r="62">
      <c r="A62" s="8" t="inlineStr">
        <is>
          <t>PSO DEO 8000</t>
        </is>
      </c>
      <c r="B62" s="8" t="inlineStr">
        <is>
          <t>HDEO</t>
        </is>
      </c>
      <c r="C62" s="8" t="inlineStr">
        <is>
          <t>10W-40</t>
        </is>
      </c>
      <c r="D62" s="8" t="inlineStr">
        <is>
          <t>Super Premium</t>
        </is>
      </c>
      <c r="E62" s="13" t="n">
        <v>1060</v>
      </c>
      <c r="F62" s="23" t="n">
        <v>0.28</v>
      </c>
      <c r="G62" s="33">
        <f>$E$62*(1+$F$62)</f>
        <v/>
      </c>
    </row>
    <row r="63">
      <c r="A63" s="8" t="inlineStr">
        <is>
          <t>PSO DEO 8000</t>
        </is>
      </c>
      <c r="B63" s="8" t="inlineStr">
        <is>
          <t>HDEO</t>
        </is>
      </c>
      <c r="C63" s="8" t="inlineStr">
        <is>
          <t>15W-40</t>
        </is>
      </c>
      <c r="D63" s="8" t="inlineStr">
        <is>
          <t>Super Premium</t>
        </is>
      </c>
      <c r="E63" s="13" t="n">
        <v>1088</v>
      </c>
      <c r="F63" s="23" t="n">
        <v>0.28</v>
      </c>
      <c r="G63" s="33">
        <f>$E$63*(1+$F$63)</f>
        <v/>
      </c>
    </row>
    <row r="64">
      <c r="A64" s="8" t="inlineStr">
        <is>
          <t>PSO DEO Max</t>
        </is>
      </c>
      <c r="B64" s="8" t="inlineStr">
        <is>
          <t>HDEO</t>
        </is>
      </c>
      <c r="C64" s="8" t="inlineStr">
        <is>
          <t>10W-40</t>
        </is>
      </c>
      <c r="D64" s="8" t="inlineStr">
        <is>
          <t>Super Premium</t>
        </is>
      </c>
      <c r="E64" s="13" t="n">
        <v>1060</v>
      </c>
      <c r="F64" s="23" t="n">
        <v>0.28</v>
      </c>
      <c r="G64" s="33">
        <f>$E$64*(1+$F$64)</f>
        <v/>
      </c>
    </row>
    <row r="65">
      <c r="A65" s="8" t="inlineStr">
        <is>
          <t>PSO DEO Max</t>
        </is>
      </c>
      <c r="B65" s="8" t="inlineStr">
        <is>
          <t>HDEO</t>
        </is>
      </c>
      <c r="C65" s="8" t="inlineStr">
        <is>
          <t>15W-40</t>
        </is>
      </c>
      <c r="D65" s="8" t="inlineStr">
        <is>
          <t>Super Premium</t>
        </is>
      </c>
      <c r="E65" s="13" t="n">
        <v>1088</v>
      </c>
      <c r="F65" s="23" t="n">
        <v>0.28</v>
      </c>
      <c r="G65" s="33">
        <f>$E$65*(1+$F$65)</f>
        <v/>
      </c>
    </row>
    <row r="66">
      <c r="A66" s="8" t="inlineStr">
        <is>
          <t>PSO Dieselube</t>
        </is>
      </c>
      <c r="B66" s="8" t="inlineStr">
        <is>
          <t>HDEO</t>
        </is>
      </c>
      <c r="C66" s="8" t="inlineStr">
        <is>
          <t>15W-40</t>
        </is>
      </c>
      <c r="D66" s="8" t="inlineStr">
        <is>
          <t>Economy</t>
        </is>
      </c>
      <c r="E66" s="13" t="n">
        <v>1088</v>
      </c>
      <c r="F66" s="23" t="n">
        <v>0</v>
      </c>
      <c r="G66" s="33">
        <f>$E$66*(1+$F$66)</f>
        <v/>
      </c>
    </row>
    <row r="67">
      <c r="A67" s="8" t="inlineStr">
        <is>
          <t>PSO Dieselube</t>
        </is>
      </c>
      <c r="B67" s="8" t="inlineStr">
        <is>
          <t>HDEO</t>
        </is>
      </c>
      <c r="C67" s="8" t="inlineStr">
        <is>
          <t>20W-50</t>
        </is>
      </c>
      <c r="D67" s="8" t="inlineStr">
        <is>
          <t>Economy</t>
        </is>
      </c>
      <c r="E67" s="13" t="n">
        <v>1239</v>
      </c>
      <c r="F67" s="23" t="n">
        <v>0</v>
      </c>
      <c r="G67" s="33">
        <f>$E$67*(1+$F$67)</f>
        <v/>
      </c>
    </row>
    <row r="68" ht="10" customHeight="1"/>
    <row r="69" ht="17" customHeight="1">
      <c r="A69" s="25" t="inlineStr">
        <is>
          <t>HOW IT WORKS</t>
        </is>
      </c>
    </row>
    <row r="70" ht="104" customHeight="1">
      <c r="A70" s="26" t="inlineStr">
        <is>
          <t xml:space="preserve">  *  Anchors to the economy-tier (Kixx/Kixx G1) Daraz.pk median for each grade as the baseline -- what the same viscosity grade costs with the minimum viable API specification.
  *  Applies an API/ACEA specification uplift based on PSO's tier: +28% for API SP fully synthetic, +18% for API SN+ semi-synthetic, +8% for API SN mineral, 0% for economy.
  *  Formula: F5 Price = Economy_Baseline x (1 + Spec_Uplift%)
  *  Uplift percentages derived from international market research on OEM approval premiums in comparable emerging markets (India, Vietnam, Indonesia).</t>
        </is>
      </c>
    </row>
    <row r="71" ht="5" customHeight="1"/>
    <row r="72" ht="17" customHeight="1">
      <c r="A72" s="3" t="inlineStr">
        <is>
          <t>RATIONALE  --  Why this framework is used</t>
        </is>
      </c>
    </row>
    <row r="73" ht="143" customHeight="1">
      <c r="A73" s="27" t="inlineStr">
        <is>
          <t xml:space="preserve">  *  Engine oil pricing must reflect specification level, not just viscosity grade. A 5W-40 API SP (fully synthetic) has fundamentally different chemistry and engine protection vs a 5W-40 API SN mineral -- they are not comparable products.
  *  In Pakistan, pump attendants and workshop mechanics rarely explain spec differences. F5 sets the price SIGNAL that communicates quality: consumers associate higher price with higher spec.
  *  F5 is weighted at 10% because spec literacy in Pakistan is still developing. As car parc modernises (more Euro-4/5 engines, turbo/hybrid vehicles), the spec premium will become more important and the weight should increase.
  *  F5 prevents underpricing of premium products: Carient Ultra 5W-40 (API SP) should never approach Kixx G1 5W-40 (API SN) pricing, regardless of competitive pressure.</t>
        </is>
      </c>
    </row>
    <row r="74" ht="5" customHeight="1"/>
    <row r="75" ht="17" customHeight="1">
      <c r="A75" s="28" t="inlineStr">
        <is>
          <t>IMPLICATIONS  --  What this means for PSO pricing decisions</t>
        </is>
      </c>
    </row>
    <row r="76" ht="117" customHeight="1">
      <c r="A76" s="29" t="inlineStr">
        <is>
          <t xml:space="preserve">  *  Investing in OEM approvals (VW 504.00, BMW Longlife-04, Toyota WS) directly increases the justifiable spec premium from 28% toward 35-40% for those SKUs. A single major OEM approval generates years of pricing power.
  *  For economy HDEO (DEO 3000, Dieselube), F5 uplift is 0% -- these compete purely on price. Any price above the F5 baseline must be supported by brand or distribution advantages, not spec.
  *  Monitor economy baseline (Kixx pricing) closely. If Korean brands discount aggressively, the F5 baseline drops and PSO's spec premium erodes unless brand investment is maintained.
  *  Display API specification prominently on packaging and POS materials. Consumers who understand spec buy on spec, not just price -- this shifts F5 weight from 10% toward 20%.</t>
        </is>
      </c>
    </row>
  </sheetData>
  <mergeCells count="11">
    <mergeCell ref="A14:G14"/>
    <mergeCell ref="A1:G1"/>
    <mergeCell ref="A70:G70"/>
    <mergeCell ref="A21:G21"/>
    <mergeCell ref="A69:G69"/>
    <mergeCell ref="A76:G76"/>
    <mergeCell ref="A4:G4"/>
    <mergeCell ref="A2:G2"/>
    <mergeCell ref="A72:G72"/>
    <mergeCell ref="A73:G73"/>
    <mergeCell ref="A75:G7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71"/>
  <sheetViews>
    <sheetView workbookViewId="0">
      <pane ySplit="5" topLeftCell="A6" activePane="bottomLeft" state="frozen"/>
      <selection pane="bottomLeft" activeCell="A1" sqref="A1"/>
    </sheetView>
  </sheetViews>
  <sheetFormatPr baseColWidth="8" defaultRowHeight="15"/>
  <cols>
    <col width="26" customWidth="1" min="1" max="1"/>
    <col width="9" customWidth="1" min="2" max="2"/>
    <col width="8" customWidth="1" min="3" max="3"/>
    <col width="8" customWidth="1" min="4" max="4"/>
    <col width="18" customWidth="1" min="5" max="5"/>
    <col width="10" customWidth="1" min="6" max="6"/>
    <col width="16" customWidth="1" min="7" max="7"/>
    <col width="12" customWidth="1" min="8" max="8"/>
    <col width="16" customWidth="1" min="9" max="9"/>
    <col width="10" customWidth="1" min="10" max="10"/>
    <col width="16" customWidth="1" min="11" max="11"/>
  </cols>
  <sheetData>
    <row r="1" ht="28" customHeight="1">
      <c r="A1" s="10" t="inlineStr">
        <is>
          <t>F6 -- GEOGRAPHIC PRICE SEGMENTATION</t>
        </is>
      </c>
    </row>
    <row r="2" ht="45" customHeight="1">
      <c r="A2" s="2" t="inlineStr">
        <is>
          <t>Uses PSO FY25 volume data to identify regional growth signals. Growing regions support a small premium; declining regions need a discount. Applied as quarterly promotional pricing, not permanent list changes. FORMULA: Regional Price = F2_National x (1 + Regional_Signal%)</t>
        </is>
      </c>
    </row>
    <row r="3" ht="8" customHeight="1"/>
    <row r="4" ht="18" customHeight="1">
      <c r="A4" s="3" t="inlineStr">
        <is>
          <t>PARAMETER TABLE -- Regional Growth Signals (source: PSO Lubes Data Final.xlsx FY25 vs FY24)</t>
        </is>
      </c>
    </row>
    <row r="5" ht="17" customHeight="1">
      <c r="A5" s="4" t="inlineStr">
        <is>
          <t>Oil Category</t>
        </is>
      </c>
      <c r="B5" s="4" t="inlineStr">
        <is>
          <t>Region</t>
        </is>
      </c>
      <c r="C5" s="4" t="inlineStr">
        <is>
          <t>Volume Signal</t>
        </is>
      </c>
      <c r="D5" s="4" t="inlineStr">
        <is>
          <t>Price Adj %</t>
        </is>
      </c>
      <c r="E5" s="4" t="inlineStr">
        <is>
          <t>Price Directive</t>
        </is>
      </c>
    </row>
    <row r="6">
      <c r="A6" s="8" t="inlineStr">
        <is>
          <t>PCMO</t>
        </is>
      </c>
      <c r="B6" s="8" t="inlineStr">
        <is>
          <t>Central</t>
        </is>
      </c>
      <c r="C6" s="8" t="inlineStr">
        <is>
          <t>Regional baseline</t>
        </is>
      </c>
      <c r="D6" s="30" t="n">
        <v>0.02</v>
      </c>
      <c r="E6" s="8" t="inlineStr">
        <is>
          <t>Raise by 2% vs national</t>
        </is>
      </c>
    </row>
    <row r="7">
      <c r="A7" s="8" t="inlineStr">
        <is>
          <t>PCMO</t>
        </is>
      </c>
      <c r="B7" s="8" t="inlineStr">
        <is>
          <t>North</t>
        </is>
      </c>
      <c r="C7" s="8" t="inlineStr">
        <is>
          <t>Soft YoY PCMO North</t>
        </is>
      </c>
      <c r="D7" s="30" t="n">
        <v>-0.03</v>
      </c>
      <c r="E7" s="8" t="inlineStr">
        <is>
          <t>Discount by 3% vs national</t>
        </is>
      </c>
    </row>
    <row r="8">
      <c r="A8" s="8" t="inlineStr">
        <is>
          <t>PCMO</t>
        </is>
      </c>
      <c r="B8" s="8" t="inlineStr">
        <is>
          <t>South</t>
        </is>
      </c>
      <c r="C8" s="8" t="inlineStr">
        <is>
          <t>Regional baseline</t>
        </is>
      </c>
      <c r="D8" s="30" t="n">
        <v>0</v>
      </c>
      <c r="E8" s="8" t="inlineStr">
        <is>
          <t>No adjustment (South = national baseline)</t>
        </is>
      </c>
    </row>
    <row r="9">
      <c r="A9" s="8" t="inlineStr">
        <is>
          <t>HDEO</t>
        </is>
      </c>
      <c r="B9" s="8" t="inlineStr">
        <is>
          <t>Central</t>
        </is>
      </c>
      <c r="C9" s="8" t="inlineStr">
        <is>
          <t>+18.6% YoY DEO Central volume</t>
        </is>
      </c>
      <c r="D9" s="30" t="n">
        <v>0.05</v>
      </c>
      <c r="E9" s="8" t="inlineStr">
        <is>
          <t>Raise by 5% vs national</t>
        </is>
      </c>
    </row>
    <row r="10">
      <c r="A10" s="8" t="inlineStr">
        <is>
          <t>HDEO</t>
        </is>
      </c>
      <c r="B10" s="8" t="inlineStr">
        <is>
          <t>North</t>
        </is>
      </c>
      <c r="C10" s="8" t="inlineStr">
        <is>
          <t>Regional baseline</t>
        </is>
      </c>
      <c r="D10" s="30" t="n">
        <v>-0.02</v>
      </c>
      <c r="E10" s="8" t="inlineStr">
        <is>
          <t>Discount by 2% vs national</t>
        </is>
      </c>
    </row>
    <row r="11">
      <c r="A11" s="8" t="inlineStr">
        <is>
          <t>HDEO</t>
        </is>
      </c>
      <c r="B11" s="8" t="inlineStr">
        <is>
          <t>South</t>
        </is>
      </c>
      <c r="C11" s="8" t="inlineStr">
        <is>
          <t>Regional baseline</t>
        </is>
      </c>
      <c r="D11" s="30" t="n">
        <v>0</v>
      </c>
      <c r="E11" s="8" t="inlineStr">
        <is>
          <t>No adjustment (South = national baseline)</t>
        </is>
      </c>
    </row>
    <row r="12">
      <c r="A12" s="8" t="inlineStr">
        <is>
          <t>MCO</t>
        </is>
      </c>
      <c r="B12" s="8" t="inlineStr">
        <is>
          <t>Central</t>
        </is>
      </c>
      <c r="C12" s="8" t="inlineStr">
        <is>
          <t>Regional baseline</t>
        </is>
      </c>
      <c r="D12" s="30" t="n">
        <v>0</v>
      </c>
      <c r="E12" s="8" t="inlineStr">
        <is>
          <t>No adjustment (South = national baseline)</t>
        </is>
      </c>
    </row>
    <row r="13">
      <c r="A13" s="8" t="inlineStr">
        <is>
          <t>MCO</t>
        </is>
      </c>
      <c r="B13" s="8" t="inlineStr">
        <is>
          <t>North</t>
        </is>
      </c>
      <c r="C13" s="8" t="inlineStr">
        <is>
          <t>-27.3% YoY MCO North volume</t>
        </is>
      </c>
      <c r="D13" s="30" t="n">
        <v>-0.08</v>
      </c>
      <c r="E13" s="8" t="inlineStr">
        <is>
          <t>Discount by 8% vs national</t>
        </is>
      </c>
    </row>
    <row r="14">
      <c r="A14" s="8" t="inlineStr">
        <is>
          <t>MCO</t>
        </is>
      </c>
      <c r="B14" s="8" t="inlineStr">
        <is>
          <t>South</t>
        </is>
      </c>
      <c r="C14" s="8" t="inlineStr">
        <is>
          <t>Regional baseline</t>
        </is>
      </c>
      <c r="D14" s="30" t="n">
        <v>0</v>
      </c>
      <c r="E14" s="8" t="inlineStr">
        <is>
          <t>No adjustment (South = national baseline)</t>
        </is>
      </c>
    </row>
    <row r="15" ht="8" customHeight="1"/>
    <row r="16" ht="18" customHeight="1">
      <c r="A16" s="3" t="inlineStr">
        <is>
          <t>CALCULATION TABLE -- Regional Prices per PSO SKU</t>
        </is>
      </c>
    </row>
    <row r="17" ht="17" customHeight="1">
      <c r="A17" s="4" t="inlineStr">
        <is>
          <t>Brand</t>
        </is>
      </c>
      <c r="B17" s="4" t="inlineStr">
        <is>
          <t>Oil Type</t>
        </is>
      </c>
      <c r="C17" s="4" t="inlineStr">
        <is>
          <t>Grade</t>
        </is>
      </c>
      <c r="D17" s="4" t="inlineStr">
        <is>
          <t>Pack (L)</t>
        </is>
      </c>
      <c r="E17" s="4" t="inlineStr">
        <is>
          <t>F2 National (PKR/L)</t>
        </is>
      </c>
      <c r="F17" s="4" t="inlineStr">
        <is>
          <t>South Adj</t>
        </is>
      </c>
      <c r="G17" s="4" t="inlineStr">
        <is>
          <t>South Price</t>
        </is>
      </c>
      <c r="H17" s="4" t="inlineStr">
        <is>
          <t>Central Adj</t>
        </is>
      </c>
      <c r="I17" s="4" t="inlineStr">
        <is>
          <t>Central Price</t>
        </is>
      </c>
      <c r="J17" s="4" t="inlineStr">
        <is>
          <t>North Adj</t>
        </is>
      </c>
      <c r="K17" s="4" t="inlineStr">
        <is>
          <t>North Price</t>
        </is>
      </c>
    </row>
    <row r="18">
      <c r="A18" s="8" t="inlineStr">
        <is>
          <t>PSO Carient SPRO</t>
        </is>
      </c>
      <c r="B18" s="8" t="inlineStr">
        <is>
          <t>PCMO</t>
        </is>
      </c>
      <c r="C18" s="8" t="inlineStr">
        <is>
          <t>15W-40</t>
        </is>
      </c>
      <c r="D18" s="12" t="n">
        <v>3</v>
      </c>
      <c r="E18" s="13" t="n">
        <v>1698</v>
      </c>
      <c r="F18" s="30" t="n">
        <v>0</v>
      </c>
      <c r="G18" s="24">
        <f>$E$18*(1+$F$18)</f>
        <v/>
      </c>
      <c r="H18" s="30" t="n">
        <v>0.02</v>
      </c>
      <c r="I18" s="24">
        <f>$E$18*(1+$H$18)</f>
        <v/>
      </c>
      <c r="J18" s="30" t="n">
        <v>-0.03</v>
      </c>
      <c r="K18" s="24">
        <f>$E$18*(1+$J$18)</f>
        <v/>
      </c>
    </row>
    <row r="19">
      <c r="A19" s="8" t="inlineStr">
        <is>
          <t>PSO Carient SPRO</t>
        </is>
      </c>
      <c r="B19" s="8" t="inlineStr">
        <is>
          <t>PCMO</t>
        </is>
      </c>
      <c r="C19" s="8" t="inlineStr">
        <is>
          <t>20W-50</t>
        </is>
      </c>
      <c r="D19" s="12" t="n">
        <v>3</v>
      </c>
      <c r="E19" s="13" t="n">
        <v>1148</v>
      </c>
      <c r="F19" s="30" t="n">
        <v>0</v>
      </c>
      <c r="G19" s="24">
        <f>$E$19*(1+$F$19)</f>
        <v/>
      </c>
      <c r="H19" s="30" t="n">
        <v>0.02</v>
      </c>
      <c r="I19" s="24">
        <f>$E$19*(1+$H$19)</f>
        <v/>
      </c>
      <c r="J19" s="30" t="n">
        <v>-0.03</v>
      </c>
      <c r="K19" s="24">
        <f>$E$19*(1+$J$19)</f>
        <v/>
      </c>
    </row>
    <row r="20">
      <c r="A20" s="8" t="inlineStr">
        <is>
          <t>PSO Carient SPRO</t>
        </is>
      </c>
      <c r="B20" s="8" t="inlineStr">
        <is>
          <t>PCMO</t>
        </is>
      </c>
      <c r="C20" s="8" t="inlineStr">
        <is>
          <t>15W-40</t>
        </is>
      </c>
      <c r="D20" s="12" t="n">
        <v>4</v>
      </c>
      <c r="E20" s="13" t="n">
        <v>1698</v>
      </c>
      <c r="F20" s="30" t="n">
        <v>0</v>
      </c>
      <c r="G20" s="24">
        <f>$E$20*(1+$F$20)</f>
        <v/>
      </c>
      <c r="H20" s="30" t="n">
        <v>0.02</v>
      </c>
      <c r="I20" s="24">
        <f>$E$20*(1+$H$20)</f>
        <v/>
      </c>
      <c r="J20" s="30" t="n">
        <v>-0.03</v>
      </c>
      <c r="K20" s="24">
        <f>$E$20*(1+$J$20)</f>
        <v/>
      </c>
    </row>
    <row r="21">
      <c r="A21" s="8" t="inlineStr">
        <is>
          <t>PSO Carient SPRO</t>
        </is>
      </c>
      <c r="B21" s="8" t="inlineStr">
        <is>
          <t>PCMO</t>
        </is>
      </c>
      <c r="C21" s="8" t="inlineStr">
        <is>
          <t>20W-50</t>
        </is>
      </c>
      <c r="D21" s="12" t="n">
        <v>4</v>
      </c>
      <c r="E21" s="13" t="n">
        <v>994</v>
      </c>
      <c r="F21" s="30" t="n">
        <v>0</v>
      </c>
      <c r="G21" s="24">
        <f>$E$21*(1+$F$21)</f>
        <v/>
      </c>
      <c r="H21" s="30" t="n">
        <v>0.02</v>
      </c>
      <c r="I21" s="24">
        <f>$E$21*(1+$H$21)</f>
        <v/>
      </c>
      <c r="J21" s="30" t="n">
        <v>-0.03</v>
      </c>
      <c r="K21" s="24">
        <f>$E$21*(1+$J$21)</f>
        <v/>
      </c>
    </row>
    <row r="22">
      <c r="A22" s="8" t="inlineStr">
        <is>
          <t>PSO Carient FS</t>
        </is>
      </c>
      <c r="B22" s="8" t="inlineStr">
        <is>
          <t>PCMO</t>
        </is>
      </c>
      <c r="C22" s="8" t="inlineStr">
        <is>
          <t>5W-30</t>
        </is>
      </c>
      <c r="D22" s="12" t="n">
        <v>4</v>
      </c>
      <c r="E22" s="13" t="n">
        <v>988</v>
      </c>
      <c r="F22" s="30" t="n">
        <v>0</v>
      </c>
      <c r="G22" s="24">
        <f>$E$22*(1+$F$22)</f>
        <v/>
      </c>
      <c r="H22" s="30" t="n">
        <v>0.02</v>
      </c>
      <c r="I22" s="24">
        <f>$E$22*(1+$H$22)</f>
        <v/>
      </c>
      <c r="J22" s="30" t="n">
        <v>-0.03</v>
      </c>
      <c r="K22" s="24">
        <f>$E$22*(1+$J$22)</f>
        <v/>
      </c>
    </row>
    <row r="23">
      <c r="A23" s="8" t="inlineStr">
        <is>
          <t>PSO Carient FS</t>
        </is>
      </c>
      <c r="B23" s="8" t="inlineStr">
        <is>
          <t>PCMO</t>
        </is>
      </c>
      <c r="C23" s="8" t="inlineStr">
        <is>
          <t>5W-40</t>
        </is>
      </c>
      <c r="D23" s="12" t="n">
        <v>4</v>
      </c>
      <c r="E23" s="13" t="n">
        <v>3310</v>
      </c>
      <c r="F23" s="30" t="n">
        <v>0</v>
      </c>
      <c r="G23" s="24">
        <f>$E$23*(1+$F$23)</f>
        <v/>
      </c>
      <c r="H23" s="30" t="n">
        <v>0.02</v>
      </c>
      <c r="I23" s="24">
        <f>$E$23*(1+$H$23)</f>
        <v/>
      </c>
      <c r="J23" s="30" t="n">
        <v>-0.03</v>
      </c>
      <c r="K23" s="24">
        <f>$E$23*(1+$J$23)</f>
        <v/>
      </c>
    </row>
    <row r="24">
      <c r="A24" s="8" t="inlineStr">
        <is>
          <t>PSO Carient FS</t>
        </is>
      </c>
      <c r="B24" s="8" t="inlineStr">
        <is>
          <t>PCMO</t>
        </is>
      </c>
      <c r="C24" s="8" t="inlineStr">
        <is>
          <t>10W-40</t>
        </is>
      </c>
      <c r="D24" s="12" t="n">
        <v>4</v>
      </c>
      <c r="E24" s="13" t="n">
        <v>994</v>
      </c>
      <c r="F24" s="30" t="n">
        <v>0</v>
      </c>
      <c r="G24" s="24">
        <f>$E$24*(1+$F$24)</f>
        <v/>
      </c>
      <c r="H24" s="30" t="n">
        <v>0.02</v>
      </c>
      <c r="I24" s="24">
        <f>$E$24*(1+$H$24)</f>
        <v/>
      </c>
      <c r="J24" s="30" t="n">
        <v>-0.03</v>
      </c>
      <c r="K24" s="24">
        <f>$E$24*(1+$J$24)</f>
        <v/>
      </c>
    </row>
    <row r="25">
      <c r="A25" s="8" t="inlineStr">
        <is>
          <t>PSO Carient Ultra</t>
        </is>
      </c>
      <c r="B25" s="8" t="inlineStr">
        <is>
          <t>PCMO</t>
        </is>
      </c>
      <c r="C25" s="8" t="inlineStr">
        <is>
          <t>0W-20</t>
        </is>
      </c>
      <c r="D25" s="12" t="n">
        <v>1</v>
      </c>
      <c r="E25" s="13" t="n">
        <v>3310</v>
      </c>
      <c r="F25" s="30" t="n">
        <v>0</v>
      </c>
      <c r="G25" s="24">
        <f>$E$25*(1+$F$25)</f>
        <v/>
      </c>
      <c r="H25" s="30" t="n">
        <v>0.02</v>
      </c>
      <c r="I25" s="24">
        <f>$E$25*(1+$H$25)</f>
        <v/>
      </c>
      <c r="J25" s="30" t="n">
        <v>-0.03</v>
      </c>
      <c r="K25" s="24">
        <f>$E$25*(1+$J$25)</f>
        <v/>
      </c>
    </row>
    <row r="26">
      <c r="A26" s="8" t="inlineStr">
        <is>
          <t>PSO Carient Ultra</t>
        </is>
      </c>
      <c r="B26" s="8" t="inlineStr">
        <is>
          <t>PCMO</t>
        </is>
      </c>
      <c r="C26" s="8" t="inlineStr">
        <is>
          <t>5W-20</t>
        </is>
      </c>
      <c r="D26" s="12" t="n">
        <v>1</v>
      </c>
      <c r="E26" s="13" t="n">
        <v>1843</v>
      </c>
      <c r="F26" s="30" t="n">
        <v>0</v>
      </c>
      <c r="G26" s="24">
        <f>$E$26*(1+$F$26)</f>
        <v/>
      </c>
      <c r="H26" s="30" t="n">
        <v>0.02</v>
      </c>
      <c r="I26" s="24">
        <f>$E$26*(1+$H$26)</f>
        <v/>
      </c>
      <c r="J26" s="30" t="n">
        <v>-0.03</v>
      </c>
      <c r="K26" s="24">
        <f>$E$26*(1+$J$26)</f>
        <v/>
      </c>
    </row>
    <row r="27">
      <c r="A27" s="8" t="inlineStr">
        <is>
          <t>PSO Carient Ultra</t>
        </is>
      </c>
      <c r="B27" s="8" t="inlineStr">
        <is>
          <t>PCMO</t>
        </is>
      </c>
      <c r="C27" s="8" t="inlineStr">
        <is>
          <t>5W-30</t>
        </is>
      </c>
      <c r="D27" s="12" t="n">
        <v>1</v>
      </c>
      <c r="E27" s="13" t="n">
        <v>988</v>
      </c>
      <c r="F27" s="30" t="n">
        <v>0</v>
      </c>
      <c r="G27" s="24">
        <f>$E$27*(1+$F$27)</f>
        <v/>
      </c>
      <c r="H27" s="30" t="n">
        <v>0.02</v>
      </c>
      <c r="I27" s="24">
        <f>$E$27*(1+$H$27)</f>
        <v/>
      </c>
      <c r="J27" s="30" t="n">
        <v>-0.03</v>
      </c>
      <c r="K27" s="24">
        <f>$E$27*(1+$J$27)</f>
        <v/>
      </c>
    </row>
    <row r="28">
      <c r="A28" s="8" t="inlineStr">
        <is>
          <t>PSO Carient Ultra</t>
        </is>
      </c>
      <c r="B28" s="8" t="inlineStr">
        <is>
          <t>PCMO</t>
        </is>
      </c>
      <c r="C28" s="8" t="inlineStr">
        <is>
          <t>5W-40</t>
        </is>
      </c>
      <c r="D28" s="12" t="n">
        <v>1</v>
      </c>
      <c r="E28" s="13" t="n">
        <v>3310</v>
      </c>
      <c r="F28" s="30" t="n">
        <v>0</v>
      </c>
      <c r="G28" s="24">
        <f>$E$28*(1+$F$28)</f>
        <v/>
      </c>
      <c r="H28" s="30" t="n">
        <v>0.02</v>
      </c>
      <c r="I28" s="24">
        <f>$E$28*(1+$H$28)</f>
        <v/>
      </c>
      <c r="J28" s="30" t="n">
        <v>-0.03</v>
      </c>
      <c r="K28" s="24">
        <f>$E$28*(1+$J$28)</f>
        <v/>
      </c>
    </row>
    <row r="29">
      <c r="A29" s="8" t="inlineStr">
        <is>
          <t>PSO Carient Ultra</t>
        </is>
      </c>
      <c r="B29" s="8" t="inlineStr">
        <is>
          <t>PCMO</t>
        </is>
      </c>
      <c r="C29" s="8" t="inlineStr">
        <is>
          <t>0W-20</t>
        </is>
      </c>
      <c r="D29" s="12" t="n">
        <v>3</v>
      </c>
      <c r="E29" s="13" t="n">
        <v>3310</v>
      </c>
      <c r="F29" s="30" t="n">
        <v>0</v>
      </c>
      <c r="G29" s="24">
        <f>$E$29*(1+$F$29)</f>
        <v/>
      </c>
      <c r="H29" s="30" t="n">
        <v>0.02</v>
      </c>
      <c r="I29" s="24">
        <f>$E$29*(1+$H$29)</f>
        <v/>
      </c>
      <c r="J29" s="30" t="n">
        <v>-0.03</v>
      </c>
      <c r="K29" s="24">
        <f>$E$29*(1+$J$29)</f>
        <v/>
      </c>
    </row>
    <row r="30">
      <c r="A30" s="8" t="inlineStr">
        <is>
          <t>PSO Carient Ultra</t>
        </is>
      </c>
      <c r="B30" s="8" t="inlineStr">
        <is>
          <t>PCMO</t>
        </is>
      </c>
      <c r="C30" s="8" t="inlineStr">
        <is>
          <t>5W-20</t>
        </is>
      </c>
      <c r="D30" s="12" t="n">
        <v>3</v>
      </c>
      <c r="E30" s="13" t="n">
        <v>1778</v>
      </c>
      <c r="F30" s="30" t="n">
        <v>0</v>
      </c>
      <c r="G30" s="24">
        <f>$E$30*(1+$F$30)</f>
        <v/>
      </c>
      <c r="H30" s="30" t="n">
        <v>0.02</v>
      </c>
      <c r="I30" s="24">
        <f>$E$30*(1+$H$30)</f>
        <v/>
      </c>
      <c r="J30" s="30" t="n">
        <v>-0.03</v>
      </c>
      <c r="K30" s="24">
        <f>$E$30*(1+$J$30)</f>
        <v/>
      </c>
    </row>
    <row r="31">
      <c r="A31" s="8" t="inlineStr">
        <is>
          <t>PSO Carient Ultra</t>
        </is>
      </c>
      <c r="B31" s="8" t="inlineStr">
        <is>
          <t>PCMO</t>
        </is>
      </c>
      <c r="C31" s="8" t="inlineStr">
        <is>
          <t>5W-30</t>
        </is>
      </c>
      <c r="D31" s="12" t="n">
        <v>3</v>
      </c>
      <c r="E31" s="13" t="n">
        <v>1096</v>
      </c>
      <c r="F31" s="30" t="n">
        <v>0</v>
      </c>
      <c r="G31" s="24">
        <f>$E$31*(1+$F$31)</f>
        <v/>
      </c>
      <c r="H31" s="30" t="n">
        <v>0.02</v>
      </c>
      <c r="I31" s="24">
        <f>$E$31*(1+$H$31)</f>
        <v/>
      </c>
      <c r="J31" s="30" t="n">
        <v>-0.03</v>
      </c>
      <c r="K31" s="24">
        <f>$E$31*(1+$J$31)</f>
        <v/>
      </c>
    </row>
    <row r="32">
      <c r="A32" s="8" t="inlineStr">
        <is>
          <t>PSO Carient Ultra</t>
        </is>
      </c>
      <c r="B32" s="8" t="inlineStr">
        <is>
          <t>PCMO</t>
        </is>
      </c>
      <c r="C32" s="8" t="inlineStr">
        <is>
          <t>5W-40</t>
        </is>
      </c>
      <c r="D32" s="12" t="n">
        <v>3</v>
      </c>
      <c r="E32" s="13" t="n">
        <v>3310</v>
      </c>
      <c r="F32" s="30" t="n">
        <v>0</v>
      </c>
      <c r="G32" s="24">
        <f>$E$32*(1+$F$32)</f>
        <v/>
      </c>
      <c r="H32" s="30" t="n">
        <v>0.02</v>
      </c>
      <c r="I32" s="24">
        <f>$E$32*(1+$H$32)</f>
        <v/>
      </c>
      <c r="J32" s="30" t="n">
        <v>-0.03</v>
      </c>
      <c r="K32" s="24">
        <f>$E$32*(1+$J$32)</f>
        <v/>
      </c>
    </row>
    <row r="33">
      <c r="A33" s="8" t="inlineStr">
        <is>
          <t>PSO Carient Ultra</t>
        </is>
      </c>
      <c r="B33" s="8" t="inlineStr">
        <is>
          <t>PCMO</t>
        </is>
      </c>
      <c r="C33" s="8" t="inlineStr">
        <is>
          <t>0W-20</t>
        </is>
      </c>
      <c r="D33" s="12" t="n">
        <v>4</v>
      </c>
      <c r="E33" s="13" t="n">
        <v>3310</v>
      </c>
      <c r="F33" s="30" t="n">
        <v>0</v>
      </c>
      <c r="G33" s="24">
        <f>$E$33*(1+$F$33)</f>
        <v/>
      </c>
      <c r="H33" s="30" t="n">
        <v>0.02</v>
      </c>
      <c r="I33" s="24">
        <f>$E$33*(1+$H$33)</f>
        <v/>
      </c>
      <c r="J33" s="30" t="n">
        <v>-0.03</v>
      </c>
      <c r="K33" s="24">
        <f>$E$33*(1+$J$33)</f>
        <v/>
      </c>
    </row>
    <row r="34">
      <c r="A34" s="8" t="inlineStr">
        <is>
          <t>PSO Carient Ultra</t>
        </is>
      </c>
      <c r="B34" s="8" t="inlineStr">
        <is>
          <t>PCMO</t>
        </is>
      </c>
      <c r="C34" s="8" t="inlineStr">
        <is>
          <t>5W-20</t>
        </is>
      </c>
      <c r="D34" s="12" t="n">
        <v>4</v>
      </c>
      <c r="E34" s="13" t="n">
        <v>1843</v>
      </c>
      <c r="F34" s="30" t="n">
        <v>0</v>
      </c>
      <c r="G34" s="24">
        <f>$E$34*(1+$F$34)</f>
        <v/>
      </c>
      <c r="H34" s="30" t="n">
        <v>0.02</v>
      </c>
      <c r="I34" s="24">
        <f>$E$34*(1+$H$34)</f>
        <v/>
      </c>
      <c r="J34" s="30" t="n">
        <v>-0.03</v>
      </c>
      <c r="K34" s="24">
        <f>$E$34*(1+$J$34)</f>
        <v/>
      </c>
    </row>
    <row r="35">
      <c r="A35" s="8" t="inlineStr">
        <is>
          <t>PSO Carient Ultra</t>
        </is>
      </c>
      <c r="B35" s="8" t="inlineStr">
        <is>
          <t>PCMO</t>
        </is>
      </c>
      <c r="C35" s="8" t="inlineStr">
        <is>
          <t>5W-30</t>
        </is>
      </c>
      <c r="D35" s="12" t="n">
        <v>4</v>
      </c>
      <c r="E35" s="13" t="n">
        <v>988</v>
      </c>
      <c r="F35" s="30" t="n">
        <v>0</v>
      </c>
      <c r="G35" s="24">
        <f>$E$35*(1+$F$35)</f>
        <v/>
      </c>
      <c r="H35" s="30" t="n">
        <v>0.02</v>
      </c>
      <c r="I35" s="24">
        <f>$E$35*(1+$H$35)</f>
        <v/>
      </c>
      <c r="J35" s="30" t="n">
        <v>-0.03</v>
      </c>
      <c r="K35" s="24">
        <f>$E$35*(1+$J$35)</f>
        <v/>
      </c>
    </row>
    <row r="36">
      <c r="A36" s="8" t="inlineStr">
        <is>
          <t>PSO Carient Ultra</t>
        </is>
      </c>
      <c r="B36" s="8" t="inlineStr">
        <is>
          <t>PCMO</t>
        </is>
      </c>
      <c r="C36" s="8" t="inlineStr">
        <is>
          <t>5W-40</t>
        </is>
      </c>
      <c r="D36" s="12" t="n">
        <v>4</v>
      </c>
      <c r="E36" s="13" t="n">
        <v>3310</v>
      </c>
      <c r="F36" s="30" t="n">
        <v>0</v>
      </c>
      <c r="G36" s="24">
        <f>$E$36*(1+$F$36)</f>
        <v/>
      </c>
      <c r="H36" s="30" t="n">
        <v>0.02</v>
      </c>
      <c r="I36" s="24">
        <f>$E$36*(1+$H$36)</f>
        <v/>
      </c>
      <c r="J36" s="30" t="n">
        <v>-0.03</v>
      </c>
      <c r="K36" s="24">
        <f>$E$36*(1+$J$36)</f>
        <v/>
      </c>
    </row>
    <row r="37">
      <c r="A37" s="8" t="inlineStr">
        <is>
          <t>PSO Carient Plus</t>
        </is>
      </c>
      <c r="B37" s="8" t="inlineStr">
        <is>
          <t>PCMO</t>
        </is>
      </c>
      <c r="C37" s="8" t="inlineStr">
        <is>
          <t>10W-40</t>
        </is>
      </c>
      <c r="D37" s="12" t="n">
        <v>1</v>
      </c>
      <c r="E37" s="13" t="n">
        <v>2231</v>
      </c>
      <c r="F37" s="30" t="n">
        <v>0</v>
      </c>
      <c r="G37" s="24">
        <f>$E$37*(1+$F$37)</f>
        <v/>
      </c>
      <c r="H37" s="30" t="n">
        <v>0.02</v>
      </c>
      <c r="I37" s="24">
        <f>$E$37*(1+$H$37)</f>
        <v/>
      </c>
      <c r="J37" s="30" t="n">
        <v>-0.03</v>
      </c>
      <c r="K37" s="24">
        <f>$E$37*(1+$J$37)</f>
        <v/>
      </c>
    </row>
    <row r="38">
      <c r="A38" s="8" t="inlineStr">
        <is>
          <t>PSO Carient Plus</t>
        </is>
      </c>
      <c r="B38" s="8" t="inlineStr">
        <is>
          <t>PCMO</t>
        </is>
      </c>
      <c r="C38" s="8" t="inlineStr">
        <is>
          <t>15W-40</t>
        </is>
      </c>
      <c r="D38" s="12" t="n">
        <v>1</v>
      </c>
      <c r="E38" s="13" t="n">
        <v>1698</v>
      </c>
      <c r="F38" s="30" t="n">
        <v>0</v>
      </c>
      <c r="G38" s="24">
        <f>$E$38*(1+$F$38)</f>
        <v/>
      </c>
      <c r="H38" s="30" t="n">
        <v>0.02</v>
      </c>
      <c r="I38" s="24">
        <f>$E$38*(1+$H$38)</f>
        <v/>
      </c>
      <c r="J38" s="30" t="n">
        <v>-0.03</v>
      </c>
      <c r="K38" s="24">
        <f>$E$38*(1+$J$38)</f>
        <v/>
      </c>
    </row>
    <row r="39">
      <c r="A39" s="8" t="inlineStr">
        <is>
          <t>PSO Carient Plus</t>
        </is>
      </c>
      <c r="B39" s="8" t="inlineStr">
        <is>
          <t>PCMO</t>
        </is>
      </c>
      <c r="C39" s="8" t="inlineStr">
        <is>
          <t>20W-50</t>
        </is>
      </c>
      <c r="D39" s="12" t="n">
        <v>1</v>
      </c>
      <c r="E39" s="13" t="n">
        <v>1504</v>
      </c>
      <c r="F39" s="30" t="n">
        <v>0</v>
      </c>
      <c r="G39" s="24">
        <f>$E$39*(1+$F$39)</f>
        <v/>
      </c>
      <c r="H39" s="30" t="n">
        <v>0.02</v>
      </c>
      <c r="I39" s="24">
        <f>$E$39*(1+$H$39)</f>
        <v/>
      </c>
      <c r="J39" s="30" t="n">
        <v>-0.03</v>
      </c>
      <c r="K39" s="24">
        <f>$E$39*(1+$J$39)</f>
        <v/>
      </c>
    </row>
    <row r="40">
      <c r="A40" s="8" t="inlineStr">
        <is>
          <t>PSO Carient Plus</t>
        </is>
      </c>
      <c r="B40" s="8" t="inlineStr">
        <is>
          <t>PCMO</t>
        </is>
      </c>
      <c r="C40" s="8" t="inlineStr">
        <is>
          <t>10W-40</t>
        </is>
      </c>
      <c r="D40" s="12" t="n">
        <v>3</v>
      </c>
      <c r="E40" s="13" t="n">
        <v>1496</v>
      </c>
      <c r="F40" s="30" t="n">
        <v>0</v>
      </c>
      <c r="G40" s="24">
        <f>$E$40*(1+$F$40)</f>
        <v/>
      </c>
      <c r="H40" s="30" t="n">
        <v>0.02</v>
      </c>
      <c r="I40" s="24">
        <f>$E$40*(1+$H$40)</f>
        <v/>
      </c>
      <c r="J40" s="30" t="n">
        <v>-0.03</v>
      </c>
      <c r="K40" s="24">
        <f>$E$40*(1+$J$40)</f>
        <v/>
      </c>
    </row>
    <row r="41">
      <c r="A41" s="8" t="inlineStr">
        <is>
          <t>PSO Carient Plus</t>
        </is>
      </c>
      <c r="B41" s="8" t="inlineStr">
        <is>
          <t>PCMO</t>
        </is>
      </c>
      <c r="C41" s="8" t="inlineStr">
        <is>
          <t>15W-40</t>
        </is>
      </c>
      <c r="D41" s="12" t="n">
        <v>3</v>
      </c>
      <c r="E41" s="13" t="n">
        <v>1698</v>
      </c>
      <c r="F41" s="30" t="n">
        <v>0</v>
      </c>
      <c r="G41" s="24">
        <f>$E$41*(1+$F$41)</f>
        <v/>
      </c>
      <c r="H41" s="30" t="n">
        <v>0.02</v>
      </c>
      <c r="I41" s="24">
        <f>$E$41*(1+$H$41)</f>
        <v/>
      </c>
      <c r="J41" s="30" t="n">
        <v>-0.03</v>
      </c>
      <c r="K41" s="24">
        <f>$E$41*(1+$J$41)</f>
        <v/>
      </c>
    </row>
    <row r="42">
      <c r="A42" s="8" t="inlineStr">
        <is>
          <t>PSO Carient Plus</t>
        </is>
      </c>
      <c r="B42" s="8" t="inlineStr">
        <is>
          <t>PCMO</t>
        </is>
      </c>
      <c r="C42" s="8" t="inlineStr">
        <is>
          <t>20W-50</t>
        </is>
      </c>
      <c r="D42" s="12" t="n">
        <v>3</v>
      </c>
      <c r="E42" s="13" t="n">
        <v>1148</v>
      </c>
      <c r="F42" s="30" t="n">
        <v>0</v>
      </c>
      <c r="G42" s="24">
        <f>$E$42*(1+$F$42)</f>
        <v/>
      </c>
      <c r="H42" s="30" t="n">
        <v>0.02</v>
      </c>
      <c r="I42" s="24">
        <f>$E$42*(1+$H$42)</f>
        <v/>
      </c>
      <c r="J42" s="30" t="n">
        <v>-0.03</v>
      </c>
      <c r="K42" s="24">
        <f>$E$42*(1+$J$42)</f>
        <v/>
      </c>
    </row>
    <row r="43">
      <c r="A43" s="8" t="inlineStr">
        <is>
          <t>PSO Carient Plus</t>
        </is>
      </c>
      <c r="B43" s="8" t="inlineStr">
        <is>
          <t>PCMO</t>
        </is>
      </c>
      <c r="C43" s="8" t="inlineStr">
        <is>
          <t>10W-40</t>
        </is>
      </c>
      <c r="D43" s="12" t="n">
        <v>4</v>
      </c>
      <c r="E43" s="13" t="n">
        <v>994</v>
      </c>
      <c r="F43" s="30" t="n">
        <v>0</v>
      </c>
      <c r="G43" s="24">
        <f>$E$43*(1+$F$43)</f>
        <v/>
      </c>
      <c r="H43" s="30" t="n">
        <v>0.02</v>
      </c>
      <c r="I43" s="24">
        <f>$E$43*(1+$H$43)</f>
        <v/>
      </c>
      <c r="J43" s="30" t="n">
        <v>-0.03</v>
      </c>
      <c r="K43" s="24">
        <f>$E$43*(1+$J$43)</f>
        <v/>
      </c>
    </row>
    <row r="44">
      <c r="A44" s="8" t="inlineStr">
        <is>
          <t>PSO Carient Plus</t>
        </is>
      </c>
      <c r="B44" s="8" t="inlineStr">
        <is>
          <t>PCMO</t>
        </is>
      </c>
      <c r="C44" s="8" t="inlineStr">
        <is>
          <t>15W-40</t>
        </is>
      </c>
      <c r="D44" s="12" t="n">
        <v>4</v>
      </c>
      <c r="E44" s="13" t="n">
        <v>1698</v>
      </c>
      <c r="F44" s="30" t="n">
        <v>0</v>
      </c>
      <c r="G44" s="24">
        <f>$E$44*(1+$F$44)</f>
        <v/>
      </c>
      <c r="H44" s="30" t="n">
        <v>0.02</v>
      </c>
      <c r="I44" s="24">
        <f>$E$44*(1+$H$44)</f>
        <v/>
      </c>
      <c r="J44" s="30" t="n">
        <v>-0.03</v>
      </c>
      <c r="K44" s="24">
        <f>$E$44*(1+$J$44)</f>
        <v/>
      </c>
    </row>
    <row r="45">
      <c r="A45" s="8" t="inlineStr">
        <is>
          <t>PSO Carient Plus</t>
        </is>
      </c>
      <c r="B45" s="8" t="inlineStr">
        <is>
          <t>PCMO</t>
        </is>
      </c>
      <c r="C45" s="8" t="inlineStr">
        <is>
          <t>20W-50</t>
        </is>
      </c>
      <c r="D45" s="12" t="n">
        <v>4</v>
      </c>
      <c r="E45" s="13" t="n">
        <v>994</v>
      </c>
      <c r="F45" s="30" t="n">
        <v>0</v>
      </c>
      <c r="G45" s="24">
        <f>$E$45*(1+$F$45)</f>
        <v/>
      </c>
      <c r="H45" s="30" t="n">
        <v>0.02</v>
      </c>
      <c r="I45" s="24">
        <f>$E$45*(1+$H$45)</f>
        <v/>
      </c>
      <c r="J45" s="30" t="n">
        <v>-0.03</v>
      </c>
      <c r="K45" s="24">
        <f>$E$45*(1+$J$45)</f>
        <v/>
      </c>
    </row>
    <row r="46">
      <c r="A46" s="8" t="inlineStr">
        <is>
          <t>PSO Blaze 4T</t>
        </is>
      </c>
      <c r="B46" s="8" t="inlineStr">
        <is>
          <t>MCO</t>
        </is>
      </c>
      <c r="C46" s="8" t="inlineStr">
        <is>
          <t>10W-40</t>
        </is>
      </c>
      <c r="D46" s="12" t="n">
        <v>1</v>
      </c>
      <c r="E46" s="13" t="n">
        <v>2231</v>
      </c>
      <c r="F46" s="30" t="n">
        <v>0</v>
      </c>
      <c r="G46" s="24">
        <f>$E$46*(1+$F$46)</f>
        <v/>
      </c>
      <c r="H46" s="30" t="n">
        <v>0</v>
      </c>
      <c r="I46" s="24">
        <f>$E$46*(1+$H$46)</f>
        <v/>
      </c>
      <c r="J46" s="30" t="n">
        <v>-0.08</v>
      </c>
      <c r="K46" s="24">
        <f>$E$46*(1+$J$46)</f>
        <v/>
      </c>
    </row>
    <row r="47">
      <c r="A47" s="8" t="inlineStr">
        <is>
          <t>PSO Blaze 4T</t>
        </is>
      </c>
      <c r="B47" s="8" t="inlineStr">
        <is>
          <t>MCO</t>
        </is>
      </c>
      <c r="C47" s="8" t="inlineStr">
        <is>
          <t>20W-50</t>
        </is>
      </c>
      <c r="D47" s="12" t="n">
        <v>1</v>
      </c>
      <c r="E47" s="13" t="n">
        <v>1504</v>
      </c>
      <c r="F47" s="30" t="n">
        <v>0</v>
      </c>
      <c r="G47" s="24">
        <f>$E$47*(1+$F$47)</f>
        <v/>
      </c>
      <c r="H47" s="30" t="n">
        <v>0</v>
      </c>
      <c r="I47" s="24">
        <f>$E$47*(1+$H$47)</f>
        <v/>
      </c>
      <c r="J47" s="30" t="n">
        <v>-0.08</v>
      </c>
      <c r="K47" s="24">
        <f>$E$47*(1+$J$47)</f>
        <v/>
      </c>
    </row>
    <row r="48">
      <c r="A48" s="8" t="inlineStr">
        <is>
          <t>PSO Blaze 4T</t>
        </is>
      </c>
      <c r="B48" s="8" t="inlineStr">
        <is>
          <t>MCO</t>
        </is>
      </c>
      <c r="C48" s="8" t="inlineStr">
        <is>
          <t>10W-40</t>
        </is>
      </c>
      <c r="D48" s="12" t="n">
        <v>0.7</v>
      </c>
      <c r="E48" s="13" t="n">
        <v>1091</v>
      </c>
      <c r="F48" s="30" t="n">
        <v>0</v>
      </c>
      <c r="G48" s="24">
        <f>$E$48*(1+$F$48)</f>
        <v/>
      </c>
      <c r="H48" s="30" t="n">
        <v>0</v>
      </c>
      <c r="I48" s="24">
        <f>$E$48*(1+$H$48)</f>
        <v/>
      </c>
      <c r="J48" s="30" t="n">
        <v>-0.08</v>
      </c>
      <c r="K48" s="24">
        <f>$E$48*(1+$J$48)</f>
        <v/>
      </c>
    </row>
    <row r="49">
      <c r="A49" s="8" t="inlineStr">
        <is>
          <t>PSO Blaze 4T</t>
        </is>
      </c>
      <c r="B49" s="8" t="inlineStr">
        <is>
          <t>MCO</t>
        </is>
      </c>
      <c r="C49" s="8" t="inlineStr">
        <is>
          <t>20W-50</t>
        </is>
      </c>
      <c r="D49" s="12" t="n">
        <v>0.7</v>
      </c>
      <c r="E49" s="13" t="n">
        <v>1099</v>
      </c>
      <c r="F49" s="30" t="n">
        <v>0</v>
      </c>
      <c r="G49" s="24">
        <f>$E$49*(1+$F$49)</f>
        <v/>
      </c>
      <c r="H49" s="30" t="n">
        <v>0</v>
      </c>
      <c r="I49" s="24">
        <f>$E$49*(1+$H$49)</f>
        <v/>
      </c>
      <c r="J49" s="30" t="n">
        <v>-0.08</v>
      </c>
      <c r="K49" s="24">
        <f>$E$49*(1+$J$49)</f>
        <v/>
      </c>
    </row>
    <row r="50">
      <c r="A50" s="8" t="inlineStr">
        <is>
          <t>PSO Blaze Xtreme</t>
        </is>
      </c>
      <c r="B50" s="8" t="inlineStr">
        <is>
          <t>MCO</t>
        </is>
      </c>
      <c r="C50" s="8" t="inlineStr">
        <is>
          <t>10W-40</t>
        </is>
      </c>
      <c r="D50" s="12" t="n">
        <v>1</v>
      </c>
      <c r="E50" s="13" t="n">
        <v>2231</v>
      </c>
      <c r="F50" s="30" t="n">
        <v>0</v>
      </c>
      <c r="G50" s="24">
        <f>$E$50*(1+$F$50)</f>
        <v/>
      </c>
      <c r="H50" s="30" t="n">
        <v>0</v>
      </c>
      <c r="I50" s="24">
        <f>$E$50*(1+$H$50)</f>
        <v/>
      </c>
      <c r="J50" s="30" t="n">
        <v>-0.08</v>
      </c>
      <c r="K50" s="24">
        <f>$E$50*(1+$J$50)</f>
        <v/>
      </c>
    </row>
    <row r="51">
      <c r="A51" s="8" t="inlineStr">
        <is>
          <t>PSO DEO 3000</t>
        </is>
      </c>
      <c r="B51" s="8" t="inlineStr">
        <is>
          <t>HDEO</t>
        </is>
      </c>
      <c r="C51" s="8" t="inlineStr">
        <is>
          <t>15W-40</t>
        </is>
      </c>
      <c r="D51" s="12" t="n">
        <v>4</v>
      </c>
      <c r="E51" s="13" t="n">
        <v>1698</v>
      </c>
      <c r="F51" s="30" t="n">
        <v>0</v>
      </c>
      <c r="G51" s="24">
        <f>$E$51*(1+$F$51)</f>
        <v/>
      </c>
      <c r="H51" s="30" t="n">
        <v>0.05</v>
      </c>
      <c r="I51" s="24">
        <f>$E$51*(1+$H$51)</f>
        <v/>
      </c>
      <c r="J51" s="30" t="n">
        <v>-0.02</v>
      </c>
      <c r="K51" s="24">
        <f>$E$51*(1+$J$51)</f>
        <v/>
      </c>
    </row>
    <row r="52">
      <c r="A52" s="8" t="inlineStr">
        <is>
          <t>PSO DEO 3000</t>
        </is>
      </c>
      <c r="B52" s="8" t="inlineStr">
        <is>
          <t>HDEO</t>
        </is>
      </c>
      <c r="C52" s="8" t="inlineStr">
        <is>
          <t>20W-50</t>
        </is>
      </c>
      <c r="D52" s="12" t="n">
        <v>4</v>
      </c>
      <c r="E52" s="13" t="n">
        <v>994</v>
      </c>
      <c r="F52" s="30" t="n">
        <v>0</v>
      </c>
      <c r="G52" s="24">
        <f>$E$52*(1+$F$52)</f>
        <v/>
      </c>
      <c r="H52" s="30" t="n">
        <v>0.05</v>
      </c>
      <c r="I52" s="24">
        <f>$E$52*(1+$H$52)</f>
        <v/>
      </c>
      <c r="J52" s="30" t="n">
        <v>-0.02</v>
      </c>
      <c r="K52" s="24">
        <f>$E$52*(1+$J$52)</f>
        <v/>
      </c>
    </row>
    <row r="53">
      <c r="A53" s="8" t="inlineStr">
        <is>
          <t>PSO DEO 6000</t>
        </is>
      </c>
      <c r="B53" s="8" t="inlineStr">
        <is>
          <t>HDEO</t>
        </is>
      </c>
      <c r="C53" s="8" t="inlineStr">
        <is>
          <t>15W-40</t>
        </is>
      </c>
      <c r="D53" s="12" t="n">
        <v>1</v>
      </c>
      <c r="E53" s="13" t="n">
        <v>1698</v>
      </c>
      <c r="F53" s="30" t="n">
        <v>0</v>
      </c>
      <c r="G53" s="24">
        <f>$E$53*(1+$F$53)</f>
        <v/>
      </c>
      <c r="H53" s="30" t="n">
        <v>0.05</v>
      </c>
      <c r="I53" s="24">
        <f>$E$53*(1+$H$53)</f>
        <v/>
      </c>
      <c r="J53" s="30" t="n">
        <v>-0.02</v>
      </c>
      <c r="K53" s="24">
        <f>$E$53*(1+$J$53)</f>
        <v/>
      </c>
    </row>
    <row r="54">
      <c r="A54" s="8" t="inlineStr">
        <is>
          <t>PSO DEO 6000</t>
        </is>
      </c>
      <c r="B54" s="8" t="inlineStr">
        <is>
          <t>HDEO</t>
        </is>
      </c>
      <c r="C54" s="8" t="inlineStr">
        <is>
          <t>15W-40</t>
        </is>
      </c>
      <c r="D54" s="12" t="n">
        <v>4</v>
      </c>
      <c r="E54" s="13" t="n">
        <v>1698</v>
      </c>
      <c r="F54" s="30" t="n">
        <v>0</v>
      </c>
      <c r="G54" s="24">
        <f>$E$54*(1+$F$54)</f>
        <v/>
      </c>
      <c r="H54" s="30" t="n">
        <v>0.05</v>
      </c>
      <c r="I54" s="24">
        <f>$E$54*(1+$H$54)</f>
        <v/>
      </c>
      <c r="J54" s="30" t="n">
        <v>-0.02</v>
      </c>
      <c r="K54" s="24">
        <f>$E$54*(1+$J$54)</f>
        <v/>
      </c>
    </row>
    <row r="55">
      <c r="A55" s="8" t="inlineStr">
        <is>
          <t>PSO DEO 8000</t>
        </is>
      </c>
      <c r="B55" s="8" t="inlineStr">
        <is>
          <t>HDEO</t>
        </is>
      </c>
      <c r="C55" s="8" t="inlineStr">
        <is>
          <t>10W-40</t>
        </is>
      </c>
      <c r="D55" s="12" t="n">
        <v>1</v>
      </c>
      <c r="E55" s="13" t="n">
        <v>2231</v>
      </c>
      <c r="F55" s="30" t="n">
        <v>0</v>
      </c>
      <c r="G55" s="24">
        <f>$E$55*(1+$F$55)</f>
        <v/>
      </c>
      <c r="H55" s="30" t="n">
        <v>0.05</v>
      </c>
      <c r="I55" s="24">
        <f>$E$55*(1+$H$55)</f>
        <v/>
      </c>
      <c r="J55" s="30" t="n">
        <v>-0.02</v>
      </c>
      <c r="K55" s="24">
        <f>$E$55*(1+$J$55)</f>
        <v/>
      </c>
    </row>
    <row r="56">
      <c r="A56" s="8" t="inlineStr">
        <is>
          <t>PSO DEO 8000</t>
        </is>
      </c>
      <c r="B56" s="8" t="inlineStr">
        <is>
          <t>HDEO</t>
        </is>
      </c>
      <c r="C56" s="8" t="inlineStr">
        <is>
          <t>15W-40</t>
        </is>
      </c>
      <c r="D56" s="12" t="n">
        <v>1</v>
      </c>
      <c r="E56" s="13" t="n">
        <v>1698</v>
      </c>
      <c r="F56" s="30" t="n">
        <v>0</v>
      </c>
      <c r="G56" s="24">
        <f>$E$56*(1+$F$56)</f>
        <v/>
      </c>
      <c r="H56" s="30" t="n">
        <v>0.05</v>
      </c>
      <c r="I56" s="24">
        <f>$E$56*(1+$H$56)</f>
        <v/>
      </c>
      <c r="J56" s="30" t="n">
        <v>-0.02</v>
      </c>
      <c r="K56" s="24">
        <f>$E$56*(1+$J$56)</f>
        <v/>
      </c>
    </row>
    <row r="57">
      <c r="A57" s="8" t="inlineStr">
        <is>
          <t>PSO DEO 8000</t>
        </is>
      </c>
      <c r="B57" s="8" t="inlineStr">
        <is>
          <t>HDEO</t>
        </is>
      </c>
      <c r="C57" s="8" t="inlineStr">
        <is>
          <t>10W-40</t>
        </is>
      </c>
      <c r="D57" s="12" t="n">
        <v>4</v>
      </c>
      <c r="E57" s="13" t="n">
        <v>994</v>
      </c>
      <c r="F57" s="30" t="n">
        <v>0</v>
      </c>
      <c r="G57" s="24">
        <f>$E$57*(1+$F$57)</f>
        <v/>
      </c>
      <c r="H57" s="30" t="n">
        <v>0.05</v>
      </c>
      <c r="I57" s="24">
        <f>$E$57*(1+$H$57)</f>
        <v/>
      </c>
      <c r="J57" s="30" t="n">
        <v>-0.02</v>
      </c>
      <c r="K57" s="24">
        <f>$E$57*(1+$J$57)</f>
        <v/>
      </c>
    </row>
    <row r="58">
      <c r="A58" s="8" t="inlineStr">
        <is>
          <t>PSO DEO 8000</t>
        </is>
      </c>
      <c r="B58" s="8" t="inlineStr">
        <is>
          <t>HDEO</t>
        </is>
      </c>
      <c r="C58" s="8" t="inlineStr">
        <is>
          <t>15W-40</t>
        </is>
      </c>
      <c r="D58" s="12" t="n">
        <v>4</v>
      </c>
      <c r="E58" s="13" t="n">
        <v>1698</v>
      </c>
      <c r="F58" s="30" t="n">
        <v>0</v>
      </c>
      <c r="G58" s="24">
        <f>$E$58*(1+$F$58)</f>
        <v/>
      </c>
      <c r="H58" s="30" t="n">
        <v>0.05</v>
      </c>
      <c r="I58" s="24">
        <f>$E$58*(1+$H$58)</f>
        <v/>
      </c>
      <c r="J58" s="30" t="n">
        <v>-0.02</v>
      </c>
      <c r="K58" s="24">
        <f>$E$58*(1+$J$58)</f>
        <v/>
      </c>
    </row>
    <row r="59">
      <c r="A59" s="8" t="inlineStr">
        <is>
          <t>PSO DEO Max</t>
        </is>
      </c>
      <c r="B59" s="8" t="inlineStr">
        <is>
          <t>HDEO</t>
        </is>
      </c>
      <c r="C59" s="8" t="inlineStr">
        <is>
          <t>10W-40</t>
        </is>
      </c>
      <c r="D59" s="12" t="n">
        <v>4</v>
      </c>
      <c r="E59" s="13" t="n">
        <v>994</v>
      </c>
      <c r="F59" s="30" t="n">
        <v>0</v>
      </c>
      <c r="G59" s="24">
        <f>$E$59*(1+$F$59)</f>
        <v/>
      </c>
      <c r="H59" s="30" t="n">
        <v>0.05</v>
      </c>
      <c r="I59" s="24">
        <f>$E$59*(1+$H$59)</f>
        <v/>
      </c>
      <c r="J59" s="30" t="n">
        <v>-0.02</v>
      </c>
      <c r="K59" s="24">
        <f>$E$59*(1+$J$59)</f>
        <v/>
      </c>
    </row>
    <row r="60">
      <c r="A60" s="8" t="inlineStr">
        <is>
          <t>PSO DEO Max</t>
        </is>
      </c>
      <c r="B60" s="8" t="inlineStr">
        <is>
          <t>HDEO</t>
        </is>
      </c>
      <c r="C60" s="8" t="inlineStr">
        <is>
          <t>15W-40</t>
        </is>
      </c>
      <c r="D60" s="12" t="n">
        <v>4</v>
      </c>
      <c r="E60" s="13" t="n">
        <v>1698</v>
      </c>
      <c r="F60" s="30" t="n">
        <v>0</v>
      </c>
      <c r="G60" s="24">
        <f>$E$60*(1+$F$60)</f>
        <v/>
      </c>
      <c r="H60" s="30" t="n">
        <v>0.05</v>
      </c>
      <c r="I60" s="24">
        <f>$E$60*(1+$H$60)</f>
        <v/>
      </c>
      <c r="J60" s="30" t="n">
        <v>-0.02</v>
      </c>
      <c r="K60" s="24">
        <f>$E$60*(1+$J$60)</f>
        <v/>
      </c>
    </row>
    <row r="61">
      <c r="A61" s="8" t="inlineStr">
        <is>
          <t>PSO Dieselube</t>
        </is>
      </c>
      <c r="B61" s="8" t="inlineStr">
        <is>
          <t>HDEO</t>
        </is>
      </c>
      <c r="C61" s="8" t="inlineStr">
        <is>
          <t>15W-40</t>
        </is>
      </c>
      <c r="D61" s="12" t="n">
        <v>4</v>
      </c>
      <c r="E61" s="13" t="n">
        <v>1698</v>
      </c>
      <c r="F61" s="30" t="n">
        <v>0</v>
      </c>
      <c r="G61" s="24">
        <f>$E$61*(1+$F$61)</f>
        <v/>
      </c>
      <c r="H61" s="30" t="n">
        <v>0.05</v>
      </c>
      <c r="I61" s="24">
        <f>$E$61*(1+$H$61)</f>
        <v/>
      </c>
      <c r="J61" s="30" t="n">
        <v>-0.02</v>
      </c>
      <c r="K61" s="24">
        <f>$E$61*(1+$J$61)</f>
        <v/>
      </c>
    </row>
    <row r="62">
      <c r="A62" s="8" t="inlineStr">
        <is>
          <t>PSO Dieselube</t>
        </is>
      </c>
      <c r="B62" s="8" t="inlineStr">
        <is>
          <t>HDEO</t>
        </is>
      </c>
      <c r="C62" s="8" t="inlineStr">
        <is>
          <t>20W-50</t>
        </is>
      </c>
      <c r="D62" s="12" t="n">
        <v>4</v>
      </c>
      <c r="E62" s="13" t="n">
        <v>994</v>
      </c>
      <c r="F62" s="30" t="n">
        <v>0</v>
      </c>
      <c r="G62" s="24">
        <f>$E$62*(1+$F$62)</f>
        <v/>
      </c>
      <c r="H62" s="30" t="n">
        <v>0.05</v>
      </c>
      <c r="I62" s="24">
        <f>$E$62*(1+$H$62)</f>
        <v/>
      </c>
      <c r="J62" s="30" t="n">
        <v>-0.02</v>
      </c>
      <c r="K62" s="24">
        <f>$E$62*(1+$J$62)</f>
        <v/>
      </c>
    </row>
    <row r="63" ht="10" customHeight="1"/>
    <row r="64" ht="17" customHeight="1">
      <c r="A64" s="25" t="inlineStr">
        <is>
          <t>HOW IT WORKS</t>
        </is>
      </c>
    </row>
    <row r="65" ht="91" customHeight="1">
      <c r="A65" s="26" t="inlineStr">
        <is>
          <t xml:space="preserve">  *  Uses PSO's own FY25 lubricants volume data (Lubes Data Final.xlsx) to compute regional YoY growth signals.
  *  Regions growing faster than the national average can support a price premium (Central DEO: +5%). Declining regions require a discount to defend volume (North MCO: -8%).
  *  Formula: Regional Price = F2_National_Price x (1 + Regional_Signal%)
  *  South (Karachi/Hyderabad) is the national baseline (0%). Adjustments are quarterly promotional price variations -- NOT permanent list price changes.</t>
        </is>
      </c>
    </row>
    <row r="66" ht="5" customHeight="1"/>
    <row r="67" ht="17" customHeight="1">
      <c r="A67" s="3" t="inlineStr">
        <is>
          <t>RATIONALE  --  Why this framework is used</t>
        </is>
      </c>
    </row>
    <row r="68" ht="117" customHeight="1">
      <c r="A68" s="27" t="inlineStr">
        <is>
          <t xml:space="preserve">  *  Pakistan's lubricants market is deeply regional: Central Punjab drives HDEO (agricultural/transport), Karachi dominates PCMO, KPK/Northern corridor has distinct MCO patterns.
  *  A flat national price leaves revenue on the table in strong-growth regions (demand is relatively inelastic) and loses volume in weak regions (buyers switch to cheaper local alternatives).
  *  Geographic pricing is standard practice for CPG and lubricants companies in South Asia. Castrol, Shell, and Total all maintain regional trade price lists in Pakistan.
  *  Using PSO's own volume data (not external estimates) ties the signal to PSO's distribution reality -- it reflects where PSO is genuinely growing or losing ground.</t>
        </is>
      </c>
    </row>
    <row r="69" ht="5" customHeight="1"/>
    <row r="70" ht="17" customHeight="1">
      <c r="A70" s="28" t="inlineStr">
        <is>
          <t>IMPLICATIONS  --  What this means for PSO pricing decisions</t>
        </is>
      </c>
    </row>
    <row r="71" ht="117" customHeight="1">
      <c r="A71" s="29" t="inlineStr">
        <is>
          <t xml:space="preserve">  *  For HDEO in Central Punjab (+5%): translates to ~Rs 75-90/L higher price on 15W-40 4L. Recoverable through regional promotional pricing without disturbing the national list.
  *  For MCO in North (-8%): this is a defensive measure. North MCO decline suggests PSO is losing to local blenders. Pricing alone will not recover volume -- conduct a distribution audit.
  *  Grey market risk: if South-to-North price gap on the same SKU exceeds Rs 50-70/L, distributors will buy cheap in South and sell in North. Cap regional variation at 5% on high-volume SKUs.
  *  Update regional signals every 6 months using the latest PSO sales data. The FY25 data will be stale by Q3 FY26 and must be refreshed.</t>
        </is>
      </c>
    </row>
  </sheetData>
  <mergeCells count="10">
    <mergeCell ref="A4:K4"/>
    <mergeCell ref="A64:K64"/>
    <mergeCell ref="A65:K65"/>
    <mergeCell ref="A2:K2"/>
    <mergeCell ref="A16:K16"/>
    <mergeCell ref="A71:K71"/>
    <mergeCell ref="A68:K68"/>
    <mergeCell ref="A1:K1"/>
    <mergeCell ref="A70:K70"/>
    <mergeCell ref="A67:K6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9"/>
  <sheetViews>
    <sheetView workbookViewId="0">
      <pane ySplit="5" topLeftCell="A6" activePane="bottomLeft" state="frozen"/>
      <selection pane="bottomLeft" activeCell="A1" sqref="A1"/>
    </sheetView>
  </sheetViews>
  <sheetFormatPr baseColWidth="8" defaultRowHeight="15"/>
  <cols>
    <col width="26" customWidth="1" min="1" max="1"/>
    <col width="14" customWidth="1" min="2" max="2"/>
    <col width="14" customWidth="1" min="3" max="3"/>
    <col width="14" customWidth="1" min="4" max="4"/>
    <col width="12" customWidth="1" min="5" max="5"/>
    <col width="16" customWidth="1" min="6" max="6"/>
    <col width="12" customWidth="1" min="7" max="7"/>
    <col width="18" customWidth="1" min="8" max="8"/>
  </cols>
  <sheetData>
    <row r="1" ht="28" customHeight="1">
      <c r="A1" s="10" t="inlineStr">
        <is>
          <t>F7 -- BASE OIL INDEX PRICE FLOOR  (Sanity Check)</t>
        </is>
      </c>
    </row>
    <row r="2" ht="50" customHeight="1">
      <c r="A2" s="2" t="inlineStr">
        <is>
          <t>Minimum viable price derived purely from base oil import costs. If PSO's price falls below F7, it implies subsidised base oil or accounting error. Markup 2.8x is the industry standard retail lubricants multiple (~64% gross margin). FORMULA: F7 Floor = (Base_Oil_Cost + Additive_Cost + Rs 50 overhead) x 2.8</t>
        </is>
      </c>
    </row>
    <row r="3" ht="8" customHeight="1"/>
    <row r="4" ht="18" customHeight="1">
      <c r="A4" s="3" t="inlineStr">
        <is>
          <t>PARAMETER TABLE -- Cost Inputs</t>
        </is>
      </c>
    </row>
    <row r="5" ht="17" customHeight="1">
      <c r="A5" s="4" t="inlineStr">
        <is>
          <t>Parameter</t>
        </is>
      </c>
      <c r="B5" s="4" t="inlineStr">
        <is>
          <t>Value</t>
        </is>
      </c>
      <c r="C5" s="4" t="inlineStr">
        <is>
          <t>Unit</t>
        </is>
      </c>
      <c r="D5" s="4" t="inlineStr">
        <is>
          <t>Notes</t>
        </is>
      </c>
    </row>
    <row r="6">
      <c r="A6" s="7" t="inlineStr">
        <is>
          <t>Retail markup multiple</t>
        </is>
      </c>
      <c r="B6" s="12" t="n">
        <v>2.8</v>
      </c>
      <c r="C6" s="8" t="inlineStr">
        <is>
          <t>x</t>
        </is>
      </c>
      <c r="D6" s="8" t="inlineStr">
        <is>
          <t>Industry norm: 2.8x mfg cost = ~64% gross margin</t>
        </is>
      </c>
    </row>
    <row r="7">
      <c r="A7" s="7" t="inlineStr">
        <is>
          <t>Blending/overhead add-on</t>
        </is>
      </c>
      <c r="B7" s="12" t="n">
        <v>50</v>
      </c>
      <c r="C7" s="8" t="inlineStr">
        <is>
          <t>PKR/L</t>
        </is>
      </c>
      <c r="D7" s="8" t="inlineStr">
        <is>
          <t>Blending, QC, filling, fixed overhead allocation</t>
        </is>
      </c>
    </row>
    <row r="8">
      <c r="A8" s="7" t="inlineStr">
        <is>
          <t>Group I base oil cost</t>
        </is>
      </c>
      <c r="B8" s="12" t="n">
        <v>280</v>
      </c>
      <c r="C8" s="8" t="inlineStr">
        <is>
          <t>PKR/L</t>
        </is>
      </c>
      <c r="D8" s="8" t="inlineStr">
        <is>
          <t>Domestic SN150/BS150, Pakistan market 2025</t>
        </is>
      </c>
    </row>
    <row r="9">
      <c r="A9" s="7" t="inlineStr">
        <is>
          <t>Group II base oil cost</t>
        </is>
      </c>
      <c r="B9" s="12" t="n">
        <v>420</v>
      </c>
      <c r="C9" s="8" t="inlineStr">
        <is>
          <t>PKR/L</t>
        </is>
      </c>
      <c r="D9" s="8" t="inlineStr">
        <is>
          <t>VHVI import -- Korean/Middle East, Pakistan 2025</t>
        </is>
      </c>
    </row>
    <row r="10">
      <c r="A10" s="7" t="inlineStr">
        <is>
          <t>Group III base oil cost</t>
        </is>
      </c>
      <c r="B10" s="12" t="n">
        <v>680</v>
      </c>
      <c r="C10" s="8" t="inlineStr">
        <is>
          <t>PKR/L</t>
        </is>
      </c>
      <c r="D10" s="8" t="inlineStr">
        <is>
          <t>PAO/GTL import -- Europe/Korea, Pakistan 2025</t>
        </is>
      </c>
    </row>
    <row r="11" ht="8" customHeight="1"/>
    <row r="12" ht="18" customHeight="1">
      <c r="A12" s="3" t="inlineStr">
        <is>
          <t>CALCULATION TABLE -- F7 Floor per Grade</t>
        </is>
      </c>
    </row>
    <row r="13" ht="17" customHeight="1">
      <c r="A13" s="4" t="inlineStr">
        <is>
          <t>Grade</t>
        </is>
      </c>
      <c r="B13" s="4" t="inlineStr">
        <is>
          <t>Base Oil Group</t>
        </is>
      </c>
      <c r="C13" s="4" t="inlineStr">
        <is>
          <t>BO Cost</t>
        </is>
      </c>
      <c r="D13" s="4" t="inlineStr">
        <is>
          <t>Additive</t>
        </is>
      </c>
      <c r="E13" s="4" t="inlineStr">
        <is>
          <t>Overhead</t>
        </is>
      </c>
      <c r="F13" s="4" t="inlineStr">
        <is>
          <t>Total Mfg Cost</t>
        </is>
      </c>
      <c r="G13" s="4" t="inlineStr">
        <is>
          <t>x2.8 Markup</t>
        </is>
      </c>
      <c r="H13" s="4" t="inlineStr">
        <is>
          <t>F7 Floor (PKR/L)</t>
        </is>
      </c>
    </row>
    <row r="14">
      <c r="A14" s="7" t="inlineStr">
        <is>
          <t>0W-20</t>
        </is>
      </c>
      <c r="B14" s="8" t="inlineStr">
        <is>
          <t>Group III</t>
        </is>
      </c>
      <c r="C14" s="13" t="n">
        <v>680</v>
      </c>
      <c r="D14" s="13" t="n">
        <v>320</v>
      </c>
      <c r="E14" s="13" t="n">
        <v>50</v>
      </c>
      <c r="F14" s="24">
        <f>$C$14+$D$14+$E$14</f>
        <v/>
      </c>
      <c r="G14" s="12" t="n">
        <v>2.8</v>
      </c>
      <c r="H14" s="33">
        <f>$F$14*$G$14</f>
        <v/>
      </c>
    </row>
    <row r="15">
      <c r="A15" s="7" t="inlineStr">
        <is>
          <t>10W-40</t>
        </is>
      </c>
      <c r="B15" s="8" t="inlineStr">
        <is>
          <t>Group II</t>
        </is>
      </c>
      <c r="C15" s="13" t="n">
        <v>420</v>
      </c>
      <c r="D15" s="13" t="n">
        <v>140</v>
      </c>
      <c r="E15" s="13" t="n">
        <v>50</v>
      </c>
      <c r="F15" s="24">
        <f>$C$15+$D$15+$E$15</f>
        <v/>
      </c>
      <c r="G15" s="12" t="n">
        <v>2.8</v>
      </c>
      <c r="H15" s="33">
        <f>$F$15*$G$15</f>
        <v/>
      </c>
    </row>
    <row r="16">
      <c r="A16" s="7" t="inlineStr">
        <is>
          <t>15W-40</t>
        </is>
      </c>
      <c r="B16" s="8" t="inlineStr">
        <is>
          <t>Group II</t>
        </is>
      </c>
      <c r="C16" s="13" t="n">
        <v>420</v>
      </c>
      <c r="D16" s="13" t="n">
        <v>120</v>
      </c>
      <c r="E16" s="13" t="n">
        <v>50</v>
      </c>
      <c r="F16" s="24">
        <f>$C$16+$D$16+$E$16</f>
        <v/>
      </c>
      <c r="G16" s="12" t="n">
        <v>2.8</v>
      </c>
      <c r="H16" s="33">
        <f>$F$16*$G$16</f>
        <v/>
      </c>
    </row>
    <row r="17">
      <c r="A17" s="7" t="inlineStr">
        <is>
          <t>20W-50</t>
        </is>
      </c>
      <c r="B17" s="8" t="inlineStr">
        <is>
          <t>Group I</t>
        </is>
      </c>
      <c r="C17" s="13" t="n">
        <v>280</v>
      </c>
      <c r="D17" s="13" t="n">
        <v>90</v>
      </c>
      <c r="E17" s="13" t="n">
        <v>50</v>
      </c>
      <c r="F17" s="24">
        <f>$C$17+$D$17+$E$17</f>
        <v/>
      </c>
      <c r="G17" s="12" t="n">
        <v>2.8</v>
      </c>
      <c r="H17" s="33">
        <f>$F$17*$G$17</f>
        <v/>
      </c>
    </row>
    <row r="18">
      <c r="A18" s="7" t="inlineStr">
        <is>
          <t>5W-20</t>
        </is>
      </c>
      <c r="B18" s="8" t="inlineStr">
        <is>
          <t>Group III</t>
        </is>
      </c>
      <c r="C18" s="13" t="n">
        <v>680</v>
      </c>
      <c r="D18" s="13" t="n">
        <v>300</v>
      </c>
      <c r="E18" s="13" t="n">
        <v>50</v>
      </c>
      <c r="F18" s="24">
        <f>$C$18+$D$18+$E$18</f>
        <v/>
      </c>
      <c r="G18" s="12" t="n">
        <v>2.8</v>
      </c>
      <c r="H18" s="33">
        <f>$F$18*$G$18</f>
        <v/>
      </c>
    </row>
    <row r="19">
      <c r="A19" s="7" t="inlineStr">
        <is>
          <t>5W-30</t>
        </is>
      </c>
      <c r="B19" s="8" t="inlineStr">
        <is>
          <t>Group III</t>
        </is>
      </c>
      <c r="C19" s="13" t="n">
        <v>680</v>
      </c>
      <c r="D19" s="13" t="n">
        <v>280</v>
      </c>
      <c r="E19" s="13" t="n">
        <v>50</v>
      </c>
      <c r="F19" s="24">
        <f>$C$19+$D$19+$E$19</f>
        <v/>
      </c>
      <c r="G19" s="12" t="n">
        <v>2.8</v>
      </c>
      <c r="H19" s="33">
        <f>$F$19*$G$19</f>
        <v/>
      </c>
    </row>
    <row r="20">
      <c r="A20" s="7" t="inlineStr">
        <is>
          <t>5W-40</t>
        </is>
      </c>
      <c r="B20" s="8" t="inlineStr">
        <is>
          <t>Group III</t>
        </is>
      </c>
      <c r="C20" s="13" t="n">
        <v>680</v>
      </c>
      <c r="D20" s="13" t="n">
        <v>260</v>
      </c>
      <c r="E20" s="13" t="n">
        <v>50</v>
      </c>
      <c r="F20" s="24">
        <f>$C$20+$D$20+$E$20</f>
        <v/>
      </c>
      <c r="G20" s="12" t="n">
        <v>2.8</v>
      </c>
      <c r="H20" s="33">
        <f>$F$20*$G$20</f>
        <v/>
      </c>
    </row>
    <row r="21" ht="10" customHeight="1"/>
    <row r="22" ht="17" customHeight="1">
      <c r="A22" s="25" t="inlineStr">
        <is>
          <t>HOW IT WORKS</t>
        </is>
      </c>
    </row>
    <row r="23" ht="104" customHeight="1">
      <c r="A23" s="26" t="inlineStr">
        <is>
          <t xml:space="preserve">  *  Takes the base oil import parity cost for the grade's required group (Group I: Rs 280/L, Group II: Rs 420/L, Group III: Rs 680/L).
  *  Adds the grade-specific additive package cost and a fixed blending/overhead allocation of Rs 50/L.
  *  Multiplies total manufacturing cost by 2.8x -- the standard retail lubricants markup in Pakistan (equivalent to ~64% gross margin).
  *  Formula: F7 Floor = (Base_Oil_Cost + Additive_Cost + Rs 50) x 2.8
  *  F7 is a standalone sanity check and audit tool -- NOT a synthesis input.</t>
        </is>
      </c>
    </row>
    <row r="24" ht="5" customHeight="1"/>
    <row r="25" ht="17" customHeight="1">
      <c r="A25" s="3" t="inlineStr">
        <is>
          <t>RATIONALE  --  Why this framework is used</t>
        </is>
      </c>
    </row>
    <row r="26" ht="117" customHeight="1">
      <c r="A26" s="27" t="inlineStr">
        <is>
          <t xml:space="preserve">  *  Base oil is the primary raw material in any lubricant (55-75% of total product cost). Its price tracks crude oil with a 6-8 week lag, creating predictable cost movements.
  *  The 2.8x markup is the industry standard for retail lubricants in Pakistan, derived from: distributor margin (15%), dealer/pump margin (8%), PSO overhead (12%), and net profit target (10%).
  *  F7 provides an independent floor that does not depend on competitor data (F2) or margin targets (F4). Even if competitive data is stale or targets are mis-set, F7 catches structural underpricing.
  *  F7 is especially valuable during crude oil price shocks: when base oil import costs spike, F7 immediately shows which PSO products are priced below manufacturing cost.</t>
        </is>
      </c>
    </row>
    <row r="27" ht="5" customHeight="1"/>
    <row r="28" ht="17" customHeight="1">
      <c r="A28" s="28" t="inlineStr">
        <is>
          <t>IMPLICATIONS  --  What this means for PSO pricing decisions</t>
        </is>
      </c>
    </row>
    <row r="29" ht="104" customHeight="1">
      <c r="A29" s="29" t="inlineStr">
        <is>
          <t xml:space="preserve">  *  Any PSO SKU priced below its F7 floor is sold at a structural loss. This triggers an immediate price revision or product exit decision.
  *  If F7 &gt; F4 for any SKU, the F4 margin target is too low -- revise it upward for that tier.
  *  Monitor base oil import prices monthly (PARCO, NRL, Korean import indices). A 10% crude oil increase typically means 8-12% increase in F7 floor values within 6-8 weeks.
  *  Group III (5W-40, 5W-30, 0W-20) is the most volatile and entirely imported. Consider hedging 30-60 days of base oil inventory to protect Super Premium pricing from cost shocks.</t>
        </is>
      </c>
    </row>
  </sheetData>
  <mergeCells count="10">
    <mergeCell ref="A12:H12"/>
    <mergeCell ref="A4:H4"/>
    <mergeCell ref="A26:H26"/>
    <mergeCell ref="A29:H29"/>
    <mergeCell ref="A25:H25"/>
    <mergeCell ref="A2:H2"/>
    <mergeCell ref="A28:H28"/>
    <mergeCell ref="A1:H1"/>
    <mergeCell ref="A23:H23"/>
    <mergeCell ref="A22:H2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66"/>
  <sheetViews>
    <sheetView workbookViewId="0">
      <pane ySplit="6" topLeftCell="A7" activePane="bottomLeft" state="frozen"/>
      <selection pane="bottomLeft" activeCell="A1" sqref="A1"/>
    </sheetView>
  </sheetViews>
  <sheetFormatPr baseColWidth="8" defaultRowHeight="15"/>
  <cols>
    <col width="26" customWidth="1" min="1" max="1"/>
    <col width="9" customWidth="1" min="2" max="2"/>
    <col width="8" customWidth="1" min="3" max="3"/>
    <col width="8" customWidth="1" min="4" max="4"/>
    <col width="18" customWidth="1" min="5" max="5"/>
    <col width="16" customWidth="1" min="6" max="6"/>
    <col width="18" customWidth="1" min="7" max="7"/>
    <col width="18" customWidth="1" min="8" max="8"/>
    <col width="16" customWidth="1" min="9" max="9"/>
  </cols>
  <sheetData>
    <row r="1" ht="28" customHeight="1">
      <c r="A1" s="10" t="inlineStr">
        <is>
          <t>F8 -- CHANNEL PRICING MATRIX</t>
        </is>
      </c>
    </row>
    <row r="2" ht="40" customHeight="1">
      <c r="A2" s="2" t="inlineStr">
        <is>
          <t>Recommended list price cascades to four trade channels via structured discount waterfall. Channel prices must always stay above the F4 waterfall floor, even for fleet. FORMULA: Channel Price = List_Price x (1 - Channel_Discount%)</t>
        </is>
      </c>
    </row>
    <row r="3" ht="8" customHeight="1"/>
    <row r="4" ht="18" customHeight="1">
      <c r="A4" s="3" t="inlineStr">
        <is>
          <t>PARAMETER TABLE -- Channel Discount Structure</t>
        </is>
      </c>
    </row>
    <row r="5" ht="17" customHeight="1">
      <c r="A5" s="4" t="inlineStr">
        <is>
          <t>Channel</t>
        </is>
      </c>
      <c r="B5" s="4" t="inlineStr">
        <is>
          <t>Discount Off List</t>
        </is>
      </c>
      <c r="C5" s="4" t="inlineStr">
        <is>
          <t>Rationale</t>
        </is>
      </c>
      <c r="D5" s="4" t="inlineStr">
        <is>
          <t>Typical Customer</t>
        </is>
      </c>
    </row>
    <row r="6">
      <c r="A6" s="7" t="inlineStr">
        <is>
          <t>Retail (Pump)</t>
        </is>
      </c>
      <c r="B6" s="23" t="n">
        <v>0</v>
      </c>
      <c r="C6" s="8" t="inlineStr">
        <is>
          <t>Full list price -- pump is PSO's most valuable channel for margin</t>
        </is>
      </c>
      <c r="D6" s="8" t="inlineStr">
        <is>
          <t>Individual car owner at petrol station</t>
        </is>
      </c>
    </row>
    <row r="7">
      <c r="A7" s="7" t="inlineStr">
        <is>
          <t>Workshop</t>
        </is>
      </c>
      <c r="B7" s="23" t="n">
        <v>0.12</v>
      </c>
      <c r="C7" s="8" t="inlineStr">
        <is>
          <t>12% trade allowance -- compensates stocking and application labour</t>
        </is>
      </c>
      <c r="D7" s="8" t="inlineStr">
        <is>
          <t>Auto workshop, lube shop, tyre shop</t>
        </is>
      </c>
    </row>
    <row r="8">
      <c r="A8" s="7" t="inlineStr">
        <is>
          <t>Distributor</t>
        </is>
      </c>
      <c r="B8" s="23" t="n">
        <v>0.15</v>
      </c>
      <c r="C8" s="8" t="inlineStr">
        <is>
          <t>15% margin for regional distributors who take volume risk</t>
        </is>
      </c>
      <c r="D8" s="8" t="inlineStr">
        <is>
          <t>Regional wholesale distributor</t>
        </is>
      </c>
    </row>
    <row r="9">
      <c r="A9" s="7" t="inlineStr">
        <is>
          <t>Fleet Contract</t>
        </is>
      </c>
      <c r="B9" s="23" t="n">
        <v>0.2</v>
      </c>
      <c r="C9" s="8" t="inlineStr">
        <is>
          <t>20% for committed annual volume -- volume + predictability trade-off</t>
        </is>
      </c>
      <c r="D9" s="8" t="inlineStr">
        <is>
          <t>Trucks, buses, ride-hailing fleets (&gt;50 vehicles)</t>
        </is>
      </c>
    </row>
    <row r="10" ht="8" customHeight="1"/>
    <row r="11" ht="18" customHeight="1">
      <c r="A11" s="3" t="inlineStr">
        <is>
          <t>CALCULATION TABLE -- Channel Prices per PSO SKU (based on Final Recommended List Price)</t>
        </is>
      </c>
    </row>
    <row r="12" ht="17" customHeight="1">
      <c r="A12" s="4" t="inlineStr">
        <is>
          <t>Brand</t>
        </is>
      </c>
      <c r="B12" s="4" t="inlineStr">
        <is>
          <t>Oil Type</t>
        </is>
      </c>
      <c r="C12" s="4" t="inlineStr">
        <is>
          <t>Grade</t>
        </is>
      </c>
      <c r="D12" s="4" t="inlineStr">
        <is>
          <t>Pack (L)</t>
        </is>
      </c>
      <c r="E12" s="4" t="inlineStr">
        <is>
          <t>List Price (PKR/L)</t>
        </is>
      </c>
      <c r="F12" s="4" t="inlineStr">
        <is>
          <t>Retail Pump</t>
        </is>
      </c>
      <c r="G12" s="4" t="inlineStr">
        <is>
          <t>Workshop (-12%)</t>
        </is>
      </c>
      <c r="H12" s="4" t="inlineStr">
        <is>
          <t>Distributor (-15%)</t>
        </is>
      </c>
      <c r="I12" s="4" t="inlineStr">
        <is>
          <t>Fleet (-20%)</t>
        </is>
      </c>
    </row>
    <row r="13">
      <c r="A13" s="8" t="inlineStr">
        <is>
          <t>PSO Carient SPRO</t>
        </is>
      </c>
      <c r="B13" s="8" t="inlineStr">
        <is>
          <t>PCMO</t>
        </is>
      </c>
      <c r="C13" s="8" t="inlineStr">
        <is>
          <t>15W-40</t>
        </is>
      </c>
      <c r="D13" s="12" t="n">
        <v>3</v>
      </c>
      <c r="E13" s="19" t="n">
        <v>1422</v>
      </c>
      <c r="F13" s="24">
        <f>$E$13*1.00</f>
        <v/>
      </c>
      <c r="G13" s="24">
        <f>$E$13*0.88</f>
        <v/>
      </c>
      <c r="H13" s="24">
        <f>$E$13*0.85</f>
        <v/>
      </c>
      <c r="I13" s="24">
        <f>$E$13*0.80</f>
        <v/>
      </c>
    </row>
    <row r="14">
      <c r="A14" s="8" t="inlineStr">
        <is>
          <t>PSO Carient SPRO</t>
        </is>
      </c>
      <c r="B14" s="8" t="inlineStr">
        <is>
          <t>PCMO</t>
        </is>
      </c>
      <c r="C14" s="8" t="inlineStr">
        <is>
          <t>20W-50</t>
        </is>
      </c>
      <c r="D14" s="12" t="n">
        <v>3</v>
      </c>
      <c r="E14" s="19" t="n">
        <v>1077</v>
      </c>
      <c r="F14" s="24">
        <f>$E$14*1.00</f>
        <v/>
      </c>
      <c r="G14" s="24">
        <f>$E$14*0.88</f>
        <v/>
      </c>
      <c r="H14" s="24">
        <f>$E$14*0.85</f>
        <v/>
      </c>
      <c r="I14" s="24">
        <f>$E$14*0.80</f>
        <v/>
      </c>
    </row>
    <row r="15">
      <c r="A15" s="8" t="inlineStr">
        <is>
          <t>PSO Carient SPRO</t>
        </is>
      </c>
      <c r="B15" s="8" t="inlineStr">
        <is>
          <t>PCMO</t>
        </is>
      </c>
      <c r="C15" s="8" t="inlineStr">
        <is>
          <t>15W-40</t>
        </is>
      </c>
      <c r="D15" s="12" t="n">
        <v>4</v>
      </c>
      <c r="E15" s="19" t="n">
        <v>1380</v>
      </c>
      <c r="F15" s="24">
        <f>$E$15*1.00</f>
        <v/>
      </c>
      <c r="G15" s="24">
        <f>$E$15*0.88</f>
        <v/>
      </c>
      <c r="H15" s="24">
        <f>$E$15*0.85</f>
        <v/>
      </c>
      <c r="I15" s="24">
        <f>$E$15*0.80</f>
        <v/>
      </c>
    </row>
    <row r="16">
      <c r="A16" s="8" t="inlineStr">
        <is>
          <t>PSO Carient SPRO</t>
        </is>
      </c>
      <c r="B16" s="8" t="inlineStr">
        <is>
          <t>PCMO</t>
        </is>
      </c>
      <c r="C16" s="8" t="inlineStr">
        <is>
          <t>20W-50</t>
        </is>
      </c>
      <c r="D16" s="12" t="n">
        <v>4</v>
      </c>
      <c r="E16" s="19" t="n">
        <v>971</v>
      </c>
      <c r="F16" s="24">
        <f>$E$16*1.00</f>
        <v/>
      </c>
      <c r="G16" s="24">
        <f>$E$16*0.88</f>
        <v/>
      </c>
      <c r="H16" s="24">
        <f>$E$16*0.85</f>
        <v/>
      </c>
      <c r="I16" s="24">
        <f>$E$16*0.80</f>
        <v/>
      </c>
    </row>
    <row r="17">
      <c r="A17" s="8" t="inlineStr">
        <is>
          <t>PSO Carient FS</t>
        </is>
      </c>
      <c r="B17" s="8" t="inlineStr">
        <is>
          <t>PCMO</t>
        </is>
      </c>
      <c r="C17" s="8" t="inlineStr">
        <is>
          <t>5W-30</t>
        </is>
      </c>
      <c r="D17" s="12" t="n">
        <v>4</v>
      </c>
      <c r="E17" s="19" t="n">
        <v>2006</v>
      </c>
      <c r="F17" s="24">
        <f>$E$17*1.00</f>
        <v/>
      </c>
      <c r="G17" s="24">
        <f>$E$17*0.88</f>
        <v/>
      </c>
      <c r="H17" s="24">
        <f>$E$17*0.85</f>
        <v/>
      </c>
      <c r="I17" s="24">
        <f>$E$17*0.80</f>
        <v/>
      </c>
    </row>
    <row r="18">
      <c r="A18" s="8" t="inlineStr">
        <is>
          <t>PSO Carient FS</t>
        </is>
      </c>
      <c r="B18" s="8" t="inlineStr">
        <is>
          <t>PCMO</t>
        </is>
      </c>
      <c r="C18" s="8" t="inlineStr">
        <is>
          <t>5W-40</t>
        </is>
      </c>
      <c r="D18" s="12" t="n">
        <v>4</v>
      </c>
      <c r="E18" s="19" t="n">
        <v>3255</v>
      </c>
      <c r="F18" s="24">
        <f>$E$18*1.00</f>
        <v/>
      </c>
      <c r="G18" s="24">
        <f>$E$18*0.88</f>
        <v/>
      </c>
      <c r="H18" s="24">
        <f>$E$18*0.85</f>
        <v/>
      </c>
      <c r="I18" s="24">
        <f>$E$18*0.80</f>
        <v/>
      </c>
    </row>
    <row r="19">
      <c r="A19" s="8" t="inlineStr">
        <is>
          <t>PSO Carient FS</t>
        </is>
      </c>
      <c r="B19" s="8" t="inlineStr">
        <is>
          <t>PCMO</t>
        </is>
      </c>
      <c r="C19" s="8" t="inlineStr">
        <is>
          <t>10W-40</t>
        </is>
      </c>
      <c r="D19" s="12" t="n">
        <v>4</v>
      </c>
      <c r="E19" s="19" t="n">
        <v>1200</v>
      </c>
      <c r="F19" s="24">
        <f>$E$19*1.00</f>
        <v/>
      </c>
      <c r="G19" s="24">
        <f>$E$19*0.88</f>
        <v/>
      </c>
      <c r="H19" s="24">
        <f>$E$19*0.85</f>
        <v/>
      </c>
      <c r="I19" s="24">
        <f>$E$19*0.80</f>
        <v/>
      </c>
    </row>
    <row r="20">
      <c r="A20" s="8" t="inlineStr">
        <is>
          <t>PSO Carient Ultra</t>
        </is>
      </c>
      <c r="B20" s="8" t="inlineStr">
        <is>
          <t>PCMO</t>
        </is>
      </c>
      <c r="C20" s="8" t="inlineStr">
        <is>
          <t>0W-20</t>
        </is>
      </c>
      <c r="D20" s="12" t="n">
        <v>1</v>
      </c>
      <c r="E20" s="19" t="n">
        <v>3861</v>
      </c>
      <c r="F20" s="24">
        <f>$E$20*1.00</f>
        <v/>
      </c>
      <c r="G20" s="24">
        <f>$E$20*0.88</f>
        <v/>
      </c>
      <c r="H20" s="24">
        <f>$E$20*0.85</f>
        <v/>
      </c>
      <c r="I20" s="24">
        <f>$E$20*0.80</f>
        <v/>
      </c>
    </row>
    <row r="21">
      <c r="A21" s="8" t="inlineStr">
        <is>
          <t>PSO Carient Ultra</t>
        </is>
      </c>
      <c r="B21" s="8" t="inlineStr">
        <is>
          <t>PCMO</t>
        </is>
      </c>
      <c r="C21" s="8" t="inlineStr">
        <is>
          <t>5W-20</t>
        </is>
      </c>
      <c r="D21" s="12" t="n">
        <v>1</v>
      </c>
      <c r="E21" s="19" t="n">
        <v>2364</v>
      </c>
      <c r="F21" s="24">
        <f>$E$21*1.00</f>
        <v/>
      </c>
      <c r="G21" s="24">
        <f>$E$21*0.88</f>
        <v/>
      </c>
      <c r="H21" s="24">
        <f>$E$21*0.85</f>
        <v/>
      </c>
      <c r="I21" s="24">
        <f>$E$21*0.80</f>
        <v/>
      </c>
    </row>
    <row r="22">
      <c r="A22" s="8" t="inlineStr">
        <is>
          <t>PSO Carient Ultra</t>
        </is>
      </c>
      <c r="B22" s="8" t="inlineStr">
        <is>
          <t>PCMO</t>
        </is>
      </c>
      <c r="C22" s="8" t="inlineStr">
        <is>
          <t>5W-30</t>
        </is>
      </c>
      <c r="D22" s="12" t="n">
        <v>1</v>
      </c>
      <c r="E22" s="19" t="n">
        <v>2318</v>
      </c>
      <c r="F22" s="24">
        <f>$E$22*1.00</f>
        <v/>
      </c>
      <c r="G22" s="24">
        <f>$E$22*0.88</f>
        <v/>
      </c>
      <c r="H22" s="24">
        <f>$E$22*0.85</f>
        <v/>
      </c>
      <c r="I22" s="24">
        <f>$E$22*0.80</f>
        <v/>
      </c>
    </row>
    <row r="23">
      <c r="A23" s="8" t="inlineStr">
        <is>
          <t>PSO Carient Ultra</t>
        </is>
      </c>
      <c r="B23" s="8" t="inlineStr">
        <is>
          <t>PCMO</t>
        </is>
      </c>
      <c r="C23" s="8" t="inlineStr">
        <is>
          <t>5W-40</t>
        </is>
      </c>
      <c r="D23" s="12" t="n">
        <v>1</v>
      </c>
      <c r="E23" s="19" t="n">
        <v>3319</v>
      </c>
      <c r="F23" s="24">
        <f>$E$23*1.00</f>
        <v/>
      </c>
      <c r="G23" s="24">
        <f>$E$23*0.88</f>
        <v/>
      </c>
      <c r="H23" s="24">
        <f>$E$23*0.85</f>
        <v/>
      </c>
      <c r="I23" s="24">
        <f>$E$23*0.80</f>
        <v/>
      </c>
    </row>
    <row r="24">
      <c r="A24" s="8" t="inlineStr">
        <is>
          <t>PSO Carient Ultra</t>
        </is>
      </c>
      <c r="B24" s="8" t="inlineStr">
        <is>
          <t>PCMO</t>
        </is>
      </c>
      <c r="C24" s="8" t="inlineStr">
        <is>
          <t>0W-20</t>
        </is>
      </c>
      <c r="D24" s="12" t="n">
        <v>3</v>
      </c>
      <c r="E24" s="19" t="n">
        <v>3580</v>
      </c>
      <c r="F24" s="24">
        <f>$E$24*1.00</f>
        <v/>
      </c>
      <c r="G24" s="24">
        <f>$E$24*0.88</f>
        <v/>
      </c>
      <c r="H24" s="24">
        <f>$E$24*0.85</f>
        <v/>
      </c>
      <c r="I24" s="24">
        <f>$E$24*0.80</f>
        <v/>
      </c>
    </row>
    <row r="25">
      <c r="A25" s="8" t="inlineStr">
        <is>
          <t>PSO Carient Ultra</t>
        </is>
      </c>
      <c r="B25" s="8" t="inlineStr">
        <is>
          <t>PCMO</t>
        </is>
      </c>
      <c r="C25" s="8" t="inlineStr">
        <is>
          <t>5W-20</t>
        </is>
      </c>
      <c r="D25" s="12" t="n">
        <v>3</v>
      </c>
      <c r="E25" s="19" t="n">
        <v>2307</v>
      </c>
      <c r="F25" s="24">
        <f>$E$25*1.00</f>
        <v/>
      </c>
      <c r="G25" s="24">
        <f>$E$25*0.88</f>
        <v/>
      </c>
      <c r="H25" s="24">
        <f>$E$25*0.85</f>
        <v/>
      </c>
      <c r="I25" s="24">
        <f>$E$25*0.80</f>
        <v/>
      </c>
    </row>
    <row r="26">
      <c r="A26" s="8" t="inlineStr">
        <is>
          <t>PSO Carient Ultra</t>
        </is>
      </c>
      <c r="B26" s="8" t="inlineStr">
        <is>
          <t>PCMO</t>
        </is>
      </c>
      <c r="C26" s="8" t="inlineStr">
        <is>
          <t>5W-30</t>
        </is>
      </c>
      <c r="D26" s="12" t="n">
        <v>3</v>
      </c>
      <c r="E26" s="19" t="n">
        <v>2261</v>
      </c>
      <c r="F26" s="24">
        <f>$E$26*1.00</f>
        <v/>
      </c>
      <c r="G26" s="24">
        <f>$E$26*0.88</f>
        <v/>
      </c>
      <c r="H26" s="24">
        <f>$E$26*0.85</f>
        <v/>
      </c>
      <c r="I26" s="24">
        <f>$E$26*0.80</f>
        <v/>
      </c>
    </row>
    <row r="27">
      <c r="A27" s="8" t="inlineStr">
        <is>
          <t>PSO Carient Ultra</t>
        </is>
      </c>
      <c r="B27" s="8" t="inlineStr">
        <is>
          <t>PCMO</t>
        </is>
      </c>
      <c r="C27" s="8" t="inlineStr">
        <is>
          <t>5W-40</t>
        </is>
      </c>
      <c r="D27" s="12" t="n">
        <v>3</v>
      </c>
      <c r="E27" s="19" t="n">
        <v>3122</v>
      </c>
      <c r="F27" s="24">
        <f>$E$27*1.00</f>
        <v/>
      </c>
      <c r="G27" s="24">
        <f>$E$27*0.88</f>
        <v/>
      </c>
      <c r="H27" s="24">
        <f>$E$27*0.85</f>
        <v/>
      </c>
      <c r="I27" s="24">
        <f>$E$27*0.80</f>
        <v/>
      </c>
    </row>
    <row r="28">
      <c r="A28" s="8" t="inlineStr">
        <is>
          <t>PSO Carient Ultra</t>
        </is>
      </c>
      <c r="B28" s="8" t="inlineStr">
        <is>
          <t>PCMO</t>
        </is>
      </c>
      <c r="C28" s="8" t="inlineStr">
        <is>
          <t>0W-20</t>
        </is>
      </c>
      <c r="D28" s="12" t="n">
        <v>4</v>
      </c>
      <c r="E28" s="19" t="n">
        <v>3463</v>
      </c>
      <c r="F28" s="24">
        <f>$E$28*1.00</f>
        <v/>
      </c>
      <c r="G28" s="24">
        <f>$E$28*0.88</f>
        <v/>
      </c>
      <c r="H28" s="24">
        <f>$E$28*0.85</f>
        <v/>
      </c>
      <c r="I28" s="24">
        <f>$E$28*0.80</f>
        <v/>
      </c>
    </row>
    <row r="29">
      <c r="A29" s="8" t="inlineStr">
        <is>
          <t>PSO Carient Ultra</t>
        </is>
      </c>
      <c r="B29" s="8" t="inlineStr">
        <is>
          <t>PCMO</t>
        </is>
      </c>
      <c r="C29" s="8" t="inlineStr">
        <is>
          <t>5W-20</t>
        </is>
      </c>
      <c r="D29" s="12" t="n">
        <v>4</v>
      </c>
      <c r="E29" s="19" t="n">
        <v>2307</v>
      </c>
      <c r="F29" s="24">
        <f>$E$29*1.00</f>
        <v/>
      </c>
      <c r="G29" s="24">
        <f>$E$29*0.88</f>
        <v/>
      </c>
      <c r="H29" s="24">
        <f>$E$29*0.85</f>
        <v/>
      </c>
      <c r="I29" s="24">
        <f>$E$29*0.80</f>
        <v/>
      </c>
    </row>
    <row r="30">
      <c r="A30" s="8" t="inlineStr">
        <is>
          <t>PSO Carient Ultra</t>
        </is>
      </c>
      <c r="B30" s="8" t="inlineStr">
        <is>
          <t>PCMO</t>
        </is>
      </c>
      <c r="C30" s="8" t="inlineStr">
        <is>
          <t>5W-30</t>
        </is>
      </c>
      <c r="D30" s="12" t="n">
        <v>4</v>
      </c>
      <c r="E30" s="19" t="n">
        <v>2261</v>
      </c>
      <c r="F30" s="24">
        <f>$E$30*1.00</f>
        <v/>
      </c>
      <c r="G30" s="24">
        <f>$E$30*0.88</f>
        <v/>
      </c>
      <c r="H30" s="24">
        <f>$E$30*0.85</f>
        <v/>
      </c>
      <c r="I30" s="24">
        <f>$E$30*0.80</f>
        <v/>
      </c>
    </row>
    <row r="31">
      <c r="A31" s="8" t="inlineStr">
        <is>
          <t>PSO Carient Ultra</t>
        </is>
      </c>
      <c r="B31" s="8" t="inlineStr">
        <is>
          <t>PCMO</t>
        </is>
      </c>
      <c r="C31" s="8" t="inlineStr">
        <is>
          <t>5W-40</t>
        </is>
      </c>
      <c r="D31" s="12" t="n">
        <v>4</v>
      </c>
      <c r="E31" s="19" t="n">
        <v>3040</v>
      </c>
      <c r="F31" s="24">
        <f>$E$31*1.00</f>
        <v/>
      </c>
      <c r="G31" s="24">
        <f>$E$31*0.88</f>
        <v/>
      </c>
      <c r="H31" s="24">
        <f>$E$31*0.85</f>
        <v/>
      </c>
      <c r="I31" s="24">
        <f>$E$31*0.80</f>
        <v/>
      </c>
    </row>
    <row r="32">
      <c r="A32" s="8" t="inlineStr">
        <is>
          <t>PSO Carient Plus</t>
        </is>
      </c>
      <c r="B32" s="8" t="inlineStr">
        <is>
          <t>PCMO</t>
        </is>
      </c>
      <c r="C32" s="8" t="inlineStr">
        <is>
          <t>10W-40</t>
        </is>
      </c>
      <c r="D32" s="12" t="n">
        <v>1</v>
      </c>
      <c r="E32" s="19" t="n">
        <v>1494</v>
      </c>
      <c r="F32" s="24">
        <f>$E$32*1.00</f>
        <v/>
      </c>
      <c r="G32" s="24">
        <f>$E$32*0.88</f>
        <v/>
      </c>
      <c r="H32" s="24">
        <f>$E$32*0.85</f>
        <v/>
      </c>
      <c r="I32" s="24">
        <f>$E$32*0.80</f>
        <v/>
      </c>
    </row>
    <row r="33">
      <c r="A33" s="8" t="inlineStr">
        <is>
          <t>PSO Carient Plus</t>
        </is>
      </c>
      <c r="B33" s="8" t="inlineStr">
        <is>
          <t>PCMO</t>
        </is>
      </c>
      <c r="C33" s="8" t="inlineStr">
        <is>
          <t>15W-40</t>
        </is>
      </c>
      <c r="D33" s="12" t="n">
        <v>1</v>
      </c>
      <c r="E33" s="19" t="n">
        <v>1749</v>
      </c>
      <c r="F33" s="24">
        <f>$E$33*1.00</f>
        <v/>
      </c>
      <c r="G33" s="24">
        <f>$E$33*0.88</f>
        <v/>
      </c>
      <c r="H33" s="24">
        <f>$E$33*0.85</f>
        <v/>
      </c>
      <c r="I33" s="24">
        <f>$E$33*0.80</f>
        <v/>
      </c>
    </row>
    <row r="34">
      <c r="A34" s="8" t="inlineStr">
        <is>
          <t>PSO Carient Plus</t>
        </is>
      </c>
      <c r="B34" s="8" t="inlineStr">
        <is>
          <t>PCMO</t>
        </is>
      </c>
      <c r="C34" s="8" t="inlineStr">
        <is>
          <t>20W-50</t>
        </is>
      </c>
      <c r="D34" s="12" t="n">
        <v>1</v>
      </c>
      <c r="E34" s="19" t="n">
        <v>1355</v>
      </c>
      <c r="F34" s="24">
        <f>$E$34*1.00</f>
        <v/>
      </c>
      <c r="G34" s="24">
        <f>$E$34*0.88</f>
        <v/>
      </c>
      <c r="H34" s="24">
        <f>$E$34*0.85</f>
        <v/>
      </c>
      <c r="I34" s="24">
        <f>$E$34*0.80</f>
        <v/>
      </c>
    </row>
    <row r="35">
      <c r="A35" s="8" t="inlineStr">
        <is>
          <t>PSO Carient Plus</t>
        </is>
      </c>
      <c r="B35" s="8" t="inlineStr">
        <is>
          <t>PCMO</t>
        </is>
      </c>
      <c r="C35" s="8" t="inlineStr">
        <is>
          <t>10W-40</t>
        </is>
      </c>
      <c r="D35" s="12" t="n">
        <v>3</v>
      </c>
      <c r="E35" s="19" t="n">
        <v>1355</v>
      </c>
      <c r="F35" s="24">
        <f>$E$35*1.00</f>
        <v/>
      </c>
      <c r="G35" s="24">
        <f>$E$35*0.88</f>
        <v/>
      </c>
      <c r="H35" s="24">
        <f>$E$35*0.85</f>
        <v/>
      </c>
      <c r="I35" s="24">
        <f>$E$35*0.80</f>
        <v/>
      </c>
    </row>
    <row r="36">
      <c r="A36" s="8" t="inlineStr">
        <is>
          <t>PSO Carient Plus</t>
        </is>
      </c>
      <c r="B36" s="8" t="inlineStr">
        <is>
          <t>PCMO</t>
        </is>
      </c>
      <c r="C36" s="8" t="inlineStr">
        <is>
          <t>15W-40</t>
        </is>
      </c>
      <c r="D36" s="12" t="n">
        <v>3</v>
      </c>
      <c r="E36" s="19" t="n">
        <v>1602</v>
      </c>
      <c r="F36" s="24">
        <f>$E$36*1.00</f>
        <v/>
      </c>
      <c r="G36" s="24">
        <f>$E$36*0.88</f>
        <v/>
      </c>
      <c r="H36" s="24">
        <f>$E$36*0.85</f>
        <v/>
      </c>
      <c r="I36" s="24">
        <f>$E$36*0.80</f>
        <v/>
      </c>
    </row>
    <row r="37">
      <c r="A37" s="8" t="inlineStr">
        <is>
          <t>PSO Carient Plus</t>
        </is>
      </c>
      <c r="B37" s="8" t="inlineStr">
        <is>
          <t>PCMO</t>
        </is>
      </c>
      <c r="C37" s="8" t="inlineStr">
        <is>
          <t>20W-50</t>
        </is>
      </c>
      <c r="D37" s="12" t="n">
        <v>3</v>
      </c>
      <c r="E37" s="19" t="n">
        <v>1114</v>
      </c>
      <c r="F37" s="24">
        <f>$E$37*1.00</f>
        <v/>
      </c>
      <c r="G37" s="24">
        <f>$E$37*0.88</f>
        <v/>
      </c>
      <c r="H37" s="24">
        <f>$E$37*0.85</f>
        <v/>
      </c>
      <c r="I37" s="24">
        <f>$E$37*0.80</f>
        <v/>
      </c>
    </row>
    <row r="38">
      <c r="A38" s="8" t="inlineStr">
        <is>
          <t>PSO Carient Plus</t>
        </is>
      </c>
      <c r="B38" s="8" t="inlineStr">
        <is>
          <t>PCMO</t>
        </is>
      </c>
      <c r="C38" s="8" t="inlineStr">
        <is>
          <t>10W-40</t>
        </is>
      </c>
      <c r="D38" s="12" t="n">
        <v>4</v>
      </c>
      <c r="E38" s="19" t="n">
        <v>1062</v>
      </c>
      <c r="F38" s="24">
        <f>$E$38*1.00</f>
        <v/>
      </c>
      <c r="G38" s="24">
        <f>$E$38*0.88</f>
        <v/>
      </c>
      <c r="H38" s="24">
        <f>$E$38*0.85</f>
        <v/>
      </c>
      <c r="I38" s="24">
        <f>$E$38*0.80</f>
        <v/>
      </c>
    </row>
    <row r="39">
      <c r="A39" s="8" t="inlineStr">
        <is>
          <t>PSO Carient Plus</t>
        </is>
      </c>
      <c r="B39" s="8" t="inlineStr">
        <is>
          <t>PCMO</t>
        </is>
      </c>
      <c r="C39" s="8" t="inlineStr">
        <is>
          <t>15W-40</t>
        </is>
      </c>
      <c r="D39" s="12" t="n">
        <v>4</v>
      </c>
      <c r="E39" s="19" t="n">
        <v>1542</v>
      </c>
      <c r="F39" s="24">
        <f>$E$39*1.00</f>
        <v/>
      </c>
      <c r="G39" s="24">
        <f>$E$39*0.88</f>
        <v/>
      </c>
      <c r="H39" s="24">
        <f>$E$39*0.85</f>
        <v/>
      </c>
      <c r="I39" s="24">
        <f>$E$39*0.80</f>
        <v/>
      </c>
    </row>
    <row r="40">
      <c r="A40" s="8" t="inlineStr">
        <is>
          <t>PSO Carient Plus</t>
        </is>
      </c>
      <c r="B40" s="8" t="inlineStr">
        <is>
          <t>PCMO</t>
        </is>
      </c>
      <c r="C40" s="8" t="inlineStr">
        <is>
          <t>20W-50</t>
        </is>
      </c>
      <c r="D40" s="12" t="n">
        <v>4</v>
      </c>
      <c r="E40" s="19" t="n">
        <v>1013</v>
      </c>
      <c r="F40" s="24">
        <f>$E$40*1.00</f>
        <v/>
      </c>
      <c r="G40" s="24">
        <f>$E$40*0.88</f>
        <v/>
      </c>
      <c r="H40" s="24">
        <f>$E$40*0.85</f>
        <v/>
      </c>
      <c r="I40" s="24">
        <f>$E$40*0.80</f>
        <v/>
      </c>
    </row>
    <row r="41">
      <c r="A41" s="8" t="inlineStr">
        <is>
          <t>PSO Blaze 4T</t>
        </is>
      </c>
      <c r="B41" s="8" t="inlineStr">
        <is>
          <t>MCO</t>
        </is>
      </c>
      <c r="C41" s="8" t="inlineStr">
        <is>
          <t>10W-40</t>
        </is>
      </c>
      <c r="D41" s="12" t="n">
        <v>1</v>
      </c>
      <c r="E41" s="19" t="n">
        <v>1494</v>
      </c>
      <c r="F41" s="24">
        <f>$E$41*1.00</f>
        <v/>
      </c>
      <c r="G41" s="24">
        <f>$E$41*0.88</f>
        <v/>
      </c>
      <c r="H41" s="24">
        <f>$E$41*0.85</f>
        <v/>
      </c>
      <c r="I41" s="24">
        <f>$E$41*0.80</f>
        <v/>
      </c>
    </row>
    <row r="42">
      <c r="A42" s="8" t="inlineStr">
        <is>
          <t>PSO Blaze 4T</t>
        </is>
      </c>
      <c r="B42" s="8" t="inlineStr">
        <is>
          <t>MCO</t>
        </is>
      </c>
      <c r="C42" s="8" t="inlineStr">
        <is>
          <t>20W-50</t>
        </is>
      </c>
      <c r="D42" s="12" t="n">
        <v>1</v>
      </c>
      <c r="E42" s="19" t="n">
        <v>1355</v>
      </c>
      <c r="F42" s="24">
        <f>$E$42*1.00</f>
        <v/>
      </c>
      <c r="G42" s="24">
        <f>$E$42*0.88</f>
        <v/>
      </c>
      <c r="H42" s="24">
        <f>$E$42*0.85</f>
        <v/>
      </c>
      <c r="I42" s="24">
        <f>$E$42*0.80</f>
        <v/>
      </c>
    </row>
    <row r="43">
      <c r="A43" s="8" t="inlineStr">
        <is>
          <t>PSO Blaze 4T</t>
        </is>
      </c>
      <c r="B43" s="8" t="inlineStr">
        <is>
          <t>MCO</t>
        </is>
      </c>
      <c r="C43" s="8" t="inlineStr">
        <is>
          <t>10W-40</t>
        </is>
      </c>
      <c r="D43" s="12" t="n">
        <v>0.7</v>
      </c>
      <c r="E43" s="19" t="n">
        <v>1107</v>
      </c>
      <c r="F43" s="24">
        <f>$E$43*1.00</f>
        <v/>
      </c>
      <c r="G43" s="24">
        <f>$E$43*0.88</f>
        <v/>
      </c>
      <c r="H43" s="24">
        <f>$E$43*0.85</f>
        <v/>
      </c>
      <c r="I43" s="24">
        <f>$E$43*0.80</f>
        <v/>
      </c>
    </row>
    <row r="44">
      <c r="A44" s="8" t="inlineStr">
        <is>
          <t>PSO Blaze 4T</t>
        </is>
      </c>
      <c r="B44" s="8" t="inlineStr">
        <is>
          <t>MCO</t>
        </is>
      </c>
      <c r="C44" s="8" t="inlineStr">
        <is>
          <t>20W-50</t>
        </is>
      </c>
      <c r="D44" s="12" t="n">
        <v>0.7</v>
      </c>
      <c r="E44" s="19" t="n">
        <v>1065</v>
      </c>
      <c r="F44" s="24">
        <f>$E$44*1.00</f>
        <v/>
      </c>
      <c r="G44" s="24">
        <f>$E$44*0.88</f>
        <v/>
      </c>
      <c r="H44" s="24">
        <f>$E$44*0.85</f>
        <v/>
      </c>
      <c r="I44" s="24">
        <f>$E$44*0.80</f>
        <v/>
      </c>
    </row>
    <row r="45">
      <c r="A45" s="8" t="inlineStr">
        <is>
          <t>PSO Blaze Xtreme</t>
        </is>
      </c>
      <c r="B45" s="8" t="inlineStr">
        <is>
          <t>MCO</t>
        </is>
      </c>
      <c r="C45" s="8" t="inlineStr">
        <is>
          <t>10W-40</t>
        </is>
      </c>
      <c r="D45" s="12" t="n">
        <v>1</v>
      </c>
      <c r="E45" s="19" t="n">
        <v>1723</v>
      </c>
      <c r="F45" s="24">
        <f>$E$45*1.00</f>
        <v/>
      </c>
      <c r="G45" s="24">
        <f>$E$45*0.88</f>
        <v/>
      </c>
      <c r="H45" s="24">
        <f>$E$45*0.85</f>
        <v/>
      </c>
      <c r="I45" s="24">
        <f>$E$45*0.80</f>
        <v/>
      </c>
    </row>
    <row r="46">
      <c r="A46" s="8" t="inlineStr">
        <is>
          <t>PSO DEO 3000</t>
        </is>
      </c>
      <c r="B46" s="8" t="inlineStr">
        <is>
          <t>HDEO</t>
        </is>
      </c>
      <c r="C46" s="8" t="inlineStr">
        <is>
          <t>15W-40</t>
        </is>
      </c>
      <c r="D46" s="12" t="n">
        <v>4</v>
      </c>
      <c r="E46" s="19" t="n">
        <v>1542</v>
      </c>
      <c r="F46" s="24">
        <f>$E$46*1.00</f>
        <v/>
      </c>
      <c r="G46" s="24">
        <f>$E$46*0.88</f>
        <v/>
      </c>
      <c r="H46" s="24">
        <f>$E$46*0.85</f>
        <v/>
      </c>
      <c r="I46" s="24">
        <f>$E$46*0.80</f>
        <v/>
      </c>
    </row>
    <row r="47">
      <c r="A47" s="8" t="inlineStr">
        <is>
          <t>PSO DEO 3000</t>
        </is>
      </c>
      <c r="B47" s="8" t="inlineStr">
        <is>
          <t>HDEO</t>
        </is>
      </c>
      <c r="C47" s="8" t="inlineStr">
        <is>
          <t>20W-50</t>
        </is>
      </c>
      <c r="D47" s="12" t="n">
        <v>4</v>
      </c>
      <c r="E47" s="19" t="n">
        <v>1013</v>
      </c>
      <c r="F47" s="24">
        <f>$E$47*1.00</f>
        <v/>
      </c>
      <c r="G47" s="24">
        <f>$E$47*0.88</f>
        <v/>
      </c>
      <c r="H47" s="24">
        <f>$E$47*0.85</f>
        <v/>
      </c>
      <c r="I47" s="24">
        <f>$E$47*0.80</f>
        <v/>
      </c>
    </row>
    <row r="48">
      <c r="A48" s="8" t="inlineStr">
        <is>
          <t>PSO DEO 6000</t>
        </is>
      </c>
      <c r="B48" s="8" t="inlineStr">
        <is>
          <t>HDEO</t>
        </is>
      </c>
      <c r="C48" s="8" t="inlineStr">
        <is>
          <t>15W-40</t>
        </is>
      </c>
      <c r="D48" s="12" t="n">
        <v>1</v>
      </c>
      <c r="E48" s="19" t="n">
        <v>1784</v>
      </c>
      <c r="F48" s="24">
        <f>$E$48*1.00</f>
        <v/>
      </c>
      <c r="G48" s="24">
        <f>$E$48*0.88</f>
        <v/>
      </c>
      <c r="H48" s="24">
        <f>$E$48*0.85</f>
        <v/>
      </c>
      <c r="I48" s="24">
        <f>$E$48*0.80</f>
        <v/>
      </c>
    </row>
    <row r="49">
      <c r="A49" s="8" t="inlineStr">
        <is>
          <t>PSO DEO 6000</t>
        </is>
      </c>
      <c r="B49" s="8" t="inlineStr">
        <is>
          <t>HDEO</t>
        </is>
      </c>
      <c r="C49" s="8" t="inlineStr">
        <is>
          <t>15W-40</t>
        </is>
      </c>
      <c r="D49" s="12" t="n">
        <v>4</v>
      </c>
      <c r="E49" s="19" t="n">
        <v>1577</v>
      </c>
      <c r="F49" s="24">
        <f>$E$49*1.00</f>
        <v/>
      </c>
      <c r="G49" s="24">
        <f>$E$49*0.88</f>
        <v/>
      </c>
      <c r="H49" s="24">
        <f>$E$49*0.85</f>
        <v/>
      </c>
      <c r="I49" s="24">
        <f>$E$49*0.80</f>
        <v/>
      </c>
    </row>
    <row r="50">
      <c r="A50" s="8" t="inlineStr">
        <is>
          <t>PSO DEO 8000</t>
        </is>
      </c>
      <c r="B50" s="8" t="inlineStr">
        <is>
          <t>HDEO</t>
        </is>
      </c>
      <c r="C50" s="8" t="inlineStr">
        <is>
          <t>10W-40</t>
        </is>
      </c>
      <c r="D50" s="12" t="n">
        <v>1</v>
      </c>
      <c r="E50" s="19" t="n">
        <v>1546</v>
      </c>
      <c r="F50" s="24">
        <f>$E$50*1.00</f>
        <v/>
      </c>
      <c r="G50" s="24">
        <f>$E$50*0.88</f>
        <v/>
      </c>
      <c r="H50" s="24">
        <f>$E$50*0.85</f>
        <v/>
      </c>
      <c r="I50" s="24">
        <f>$E$50*0.80</f>
        <v/>
      </c>
    </row>
    <row r="51">
      <c r="A51" s="8" t="inlineStr">
        <is>
          <t>PSO DEO 8000</t>
        </is>
      </c>
      <c r="B51" s="8" t="inlineStr">
        <is>
          <t>HDEO</t>
        </is>
      </c>
      <c r="C51" s="8" t="inlineStr">
        <is>
          <t>15W-40</t>
        </is>
      </c>
      <c r="D51" s="12" t="n">
        <v>1</v>
      </c>
      <c r="E51" s="19" t="n">
        <v>1822</v>
      </c>
      <c r="F51" s="24">
        <f>$E$51*1.00</f>
        <v/>
      </c>
      <c r="G51" s="24">
        <f>$E$51*0.88</f>
        <v/>
      </c>
      <c r="H51" s="24">
        <f>$E$51*0.85</f>
        <v/>
      </c>
      <c r="I51" s="24">
        <f>$E$51*0.80</f>
        <v/>
      </c>
    </row>
    <row r="52">
      <c r="A52" s="8" t="inlineStr">
        <is>
          <t>PSO DEO 8000</t>
        </is>
      </c>
      <c r="B52" s="8" t="inlineStr">
        <is>
          <t>HDEO</t>
        </is>
      </c>
      <c r="C52" s="8" t="inlineStr">
        <is>
          <t>10W-40</t>
        </is>
      </c>
      <c r="D52" s="12" t="n">
        <v>4</v>
      </c>
      <c r="E52" s="19" t="n">
        <v>1352</v>
      </c>
      <c r="F52" s="24">
        <f>$E$52*1.00</f>
        <v/>
      </c>
      <c r="G52" s="24">
        <f>$E$52*0.88</f>
        <v/>
      </c>
      <c r="H52" s="24">
        <f>$E$52*0.85</f>
        <v/>
      </c>
      <c r="I52" s="24">
        <f>$E$52*0.80</f>
        <v/>
      </c>
    </row>
    <row r="53">
      <c r="A53" s="8" t="inlineStr">
        <is>
          <t>PSO DEO 8000</t>
        </is>
      </c>
      <c r="B53" s="8" t="inlineStr">
        <is>
          <t>HDEO</t>
        </is>
      </c>
      <c r="C53" s="8" t="inlineStr">
        <is>
          <t>15W-40</t>
        </is>
      </c>
      <c r="D53" s="12" t="n">
        <v>4</v>
      </c>
      <c r="E53" s="19" t="n">
        <v>1613</v>
      </c>
      <c r="F53" s="24">
        <f>$E$53*1.00</f>
        <v/>
      </c>
      <c r="G53" s="24">
        <f>$E$53*0.88</f>
        <v/>
      </c>
      <c r="H53" s="24">
        <f>$E$53*0.85</f>
        <v/>
      </c>
      <c r="I53" s="24">
        <f>$E$53*0.80</f>
        <v/>
      </c>
    </row>
    <row r="54">
      <c r="A54" s="8" t="inlineStr">
        <is>
          <t>PSO DEO Max</t>
        </is>
      </c>
      <c r="B54" s="8" t="inlineStr">
        <is>
          <t>HDEO</t>
        </is>
      </c>
      <c r="C54" s="8" t="inlineStr">
        <is>
          <t>10W-40</t>
        </is>
      </c>
      <c r="D54" s="12" t="n">
        <v>4</v>
      </c>
      <c r="E54" s="19" t="n">
        <v>1352</v>
      </c>
      <c r="F54" s="24">
        <f>$E$54*1.00</f>
        <v/>
      </c>
      <c r="G54" s="24">
        <f>$E$54*0.88</f>
        <v/>
      </c>
      <c r="H54" s="24">
        <f>$E$54*0.85</f>
        <v/>
      </c>
      <c r="I54" s="24">
        <f>$E$54*0.80</f>
        <v/>
      </c>
    </row>
    <row r="55">
      <c r="A55" s="8" t="inlineStr">
        <is>
          <t>PSO DEO Max</t>
        </is>
      </c>
      <c r="B55" s="8" t="inlineStr">
        <is>
          <t>HDEO</t>
        </is>
      </c>
      <c r="C55" s="8" t="inlineStr">
        <is>
          <t>15W-40</t>
        </is>
      </c>
      <c r="D55" s="12" t="n">
        <v>4</v>
      </c>
      <c r="E55" s="19" t="n">
        <v>1613</v>
      </c>
      <c r="F55" s="24">
        <f>$E$55*1.00</f>
        <v/>
      </c>
      <c r="G55" s="24">
        <f>$E$55*0.88</f>
        <v/>
      </c>
      <c r="H55" s="24">
        <f>$E$55*0.85</f>
        <v/>
      </c>
      <c r="I55" s="24">
        <f>$E$55*0.80</f>
        <v/>
      </c>
    </row>
    <row r="56">
      <c r="A56" s="8" t="inlineStr">
        <is>
          <t>PSO Dieselube</t>
        </is>
      </c>
      <c r="B56" s="8" t="inlineStr">
        <is>
          <t>HDEO</t>
        </is>
      </c>
      <c r="C56" s="8" t="inlineStr">
        <is>
          <t>15W-40</t>
        </is>
      </c>
      <c r="D56" s="12" t="n">
        <v>4</v>
      </c>
      <c r="E56" s="19" t="n">
        <v>1380</v>
      </c>
      <c r="F56" s="24">
        <f>$E$56*1.00</f>
        <v/>
      </c>
      <c r="G56" s="24">
        <f>$E$56*0.88</f>
        <v/>
      </c>
      <c r="H56" s="24">
        <f>$E$56*0.85</f>
        <v/>
      </c>
      <c r="I56" s="24">
        <f>$E$56*0.80</f>
        <v/>
      </c>
    </row>
    <row r="57">
      <c r="A57" s="8" t="inlineStr">
        <is>
          <t>PSO Dieselube</t>
        </is>
      </c>
      <c r="B57" s="8" t="inlineStr">
        <is>
          <t>HDEO</t>
        </is>
      </c>
      <c r="C57" s="8" t="inlineStr">
        <is>
          <t>20W-50</t>
        </is>
      </c>
      <c r="D57" s="12" t="n">
        <v>4</v>
      </c>
      <c r="E57" s="19" t="n">
        <v>971</v>
      </c>
      <c r="F57" s="24">
        <f>$E$57*1.00</f>
        <v/>
      </c>
      <c r="G57" s="24">
        <f>$E$57*0.88</f>
        <v/>
      </c>
      <c r="H57" s="24">
        <f>$E$57*0.85</f>
        <v/>
      </c>
      <c r="I57" s="24">
        <f>$E$57*0.80</f>
        <v/>
      </c>
    </row>
    <row r="58" ht="10" customHeight="1"/>
    <row r="59" ht="17" customHeight="1">
      <c r="A59" s="25" t="inlineStr">
        <is>
          <t>HOW IT WORKS</t>
        </is>
      </c>
    </row>
    <row r="60" ht="78" customHeight="1">
      <c r="A60" s="26" t="inlineStr">
        <is>
          <t xml:space="preserve">  *  Takes the final recommended list price from the weighted synthesis (Summary sheet) as the starting point.
  *  Applies a structured discount cascade for each trade channel: Retail Pump = 0%, Workshop = -12%, Distributor = -15%, Fleet Contract = -20%.
  *  Formula: Channel Price = List Price x (1 - Discount%)
  *  The fleet contract price is the critical floor -- it must never fall below the F4 cost waterfall floor.</t>
        </is>
      </c>
    </row>
    <row r="61" ht="5" customHeight="1"/>
    <row r="62" ht="17" customHeight="1">
      <c r="A62" s="3" t="inlineStr">
        <is>
          <t>RATIONALE  --  Why this framework is used</t>
        </is>
      </c>
    </row>
    <row r="63" ht="156" customHeight="1">
      <c r="A63" s="27" t="inlineStr">
        <is>
          <t xml:space="preserve">  *  Different trade channels have fundamentally different cost structures, volume commitments, and credit terms. A single price for all channels either overcharges workshops (losing trade) or undercharges fleet (losing margin).
  *  Workshop -12%: they stock product and drive recommendations but have no volume commitment. 12% is the minimum trade allowance to secure shelf placement and mechanic recommendation.
  *  Distributor -15%: they take inventory risk, provide credit to dealers, manage last-mile logistics. 15% covers their operating costs and provides a viable business model.
  *  Fleet -20%: they commit to annual volumes and provide predictable revenue but negotiate aggressively and pay in 45-90 day cycles. 20% compensates for working capital cost and volume commitment.
  *  A structured discount matrix prevents channel conflict: each account type knows their price and cannot arbitrage because the discount is tied to account type, not transaction size.</t>
        </is>
      </c>
    </row>
    <row r="64" ht="5" customHeight="1"/>
    <row r="65" ht="17" customHeight="1">
      <c r="A65" s="28" t="inlineStr">
        <is>
          <t>IMPLICATIONS  --  What this means for PSO pricing decisions</t>
        </is>
      </c>
    </row>
    <row r="66" ht="130" customHeight="1">
      <c r="A66" s="29" t="inlineStr">
        <is>
          <t xml:space="preserve">  *  Critical constraint: Fleet contract price (list x 0.80) must always exceed the F4 pocket price floor. If not, PSO is subsidising fleet customers from its own margin -- unsustainable.
  *  No channel should receive more than 20% off list without board-level approval. Any 'special deal' deeper than fleet discount erodes the entire price architecture.
  *  Workshops are PSO's most strategic brand advocacy channel. The 12% discount is a relationship investment. Consider tiering: 12% standard, 14% for top-volume workshops, 16% for PSO-branded workshop partners.
  *  Fleet contracts must be reviewed annually against the UPDATED synthesis price, not the prior year's list. If list prices rise 8% due to base oil inflation but fleet contracts are locked at prior list, PSO absorbs the entire cost increase at its most margin-dilutive channel.</t>
        </is>
      </c>
    </row>
  </sheetData>
  <mergeCells count="10">
    <mergeCell ref="A59:I59"/>
    <mergeCell ref="A65:I65"/>
    <mergeCell ref="A2:I2"/>
    <mergeCell ref="A11:I11"/>
    <mergeCell ref="A63:I63"/>
    <mergeCell ref="A60:I60"/>
    <mergeCell ref="A66:I66"/>
    <mergeCell ref="A1:I1"/>
    <mergeCell ref="A4:I4"/>
    <mergeCell ref="A62:I6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2026-07-08T17:57:17Z</dcterms:created>
  <dcterms:modified xmlns:dcterms="http://purl.org/dc/terms/" xmlns:xsi="http://www.w3.org/2001/XMLSchema-instance" xsi:type="dcterms:W3CDTF">2026-07-08T17:57:21Z</dcterms:modified>
</cp:coreProperties>
</file>