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Brands" sheetId="3" state="visible" r:id="rId3"/>
    <sheet xmlns:r="http://schemas.openxmlformats.org/officeDocument/2006/relationships" name="Codes" sheetId="4" state="visible" r:id="rId4"/>
    <sheet xmlns:r="http://schemas.openxmlformats.org/officeDocument/2006/relationships" name="MarketShare" sheetId="5" state="visible" r:id="rId5"/>
  </sheets>
  <definedNames>
    <definedName name="_xlnm._FilterDatabase" localSheetId="0" hidden="1">'Ads'!$A$1:$V$601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6" customWidth="1" min="4" max="4"/>
    <col width="16" customWidth="1" min="5" max="5"/>
    <col width="16" customWidth="1" min="6" max="6"/>
    <col width="12" customWidth="1" min="7" max="7"/>
    <col width="12" customWidth="1" min="8" max="8"/>
    <col width="12" customWidth="1" min="9" max="9"/>
    <col width="20" customWidth="1" min="10" max="10"/>
    <col width="22" customWidth="1" min="11" max="11"/>
    <col width="22" customWidth="1" min="12" max="12"/>
    <col width="14" customWidth="1" min="13" max="13"/>
    <col width="20" customWidth="1" min="14" max="14"/>
    <col width="16" customWidth="1" min="15" max="15"/>
    <col width="18" customWidth="1" min="16" max="16"/>
    <col width="20" customWidth="1" min="17" max="17"/>
    <col width="14" customWidth="1" min="18" max="18"/>
    <col width="12" customWidth="1" min="19" max="19"/>
    <col width="46" customWidth="1" min="20" max="20"/>
    <col width="10" customWidth="1" min="21" max="21"/>
    <col width="46" customWidth="1" min="22" max="22"/>
  </cols>
  <sheetData>
    <row r="1">
      <c r="A1" s="1" t="inlineStr">
        <is>
          <t>ad_id</t>
        </is>
      </c>
      <c r="B1" s="1" t="inlineStr">
        <is>
          <t>brand</t>
        </is>
      </c>
      <c r="C1" s="1" t="inlineStr">
        <is>
          <t>ring</t>
        </is>
      </c>
      <c r="D1" s="1" t="inlineStr">
        <is>
          <t>channel</t>
        </is>
      </c>
      <c r="E1" s="1" t="inlineStr">
        <is>
          <t>date_first_seen</t>
        </is>
      </c>
      <c r="F1" s="1" t="inlineStr">
        <is>
          <t>date_last_seen</t>
        </is>
      </c>
      <c r="G1" s="1" t="inlineStr">
        <is>
          <t>format</t>
        </is>
      </c>
      <c r="H1" s="1" t="inlineStr">
        <is>
          <t>duration_sec</t>
        </is>
      </c>
      <c r="I1" s="1" t="inlineStr">
        <is>
          <t>language</t>
        </is>
      </c>
      <c r="J1" s="1" t="inlineStr">
        <is>
          <t>product_line</t>
        </is>
      </c>
      <c r="K1" s="1" t="inlineStr">
        <is>
          <t>claim_primary</t>
        </is>
      </c>
      <c r="L1" s="1" t="inlineStr">
        <is>
          <t>claim_secondary</t>
        </is>
      </c>
      <c r="M1" s="1" t="inlineStr">
        <is>
          <t>register</t>
        </is>
      </c>
      <c r="N1" s="1" t="inlineStr">
        <is>
          <t>proof_device</t>
        </is>
      </c>
      <c r="O1" s="1" t="inlineStr">
        <is>
          <t>cta_channel</t>
        </is>
      </c>
      <c r="P1" s="1" t="inlineStr">
        <is>
          <t>audience_signal</t>
        </is>
      </c>
      <c r="Q1" s="1" t="inlineStr">
        <is>
          <t>addresses_objection</t>
        </is>
      </c>
      <c r="R1" s="1" t="inlineStr">
        <is>
          <t>variant_count</t>
        </is>
      </c>
      <c r="S1" s="1" t="inlineStr">
        <is>
          <t>views</t>
        </is>
      </c>
      <c r="T1" s="1" t="inlineStr">
        <is>
          <t>source_url</t>
        </is>
      </c>
      <c r="U1" s="1" t="inlineStr">
        <is>
          <t>coder</t>
        </is>
      </c>
      <c r="V1" s="1" t="inlineStr">
        <is>
          <t>notes</t>
        </is>
      </c>
    </row>
    <row r="2">
      <c r="A2">
        <f>IF(B2="","",ROW()-1)</f>
        <v/>
      </c>
      <c r="B2" t="inlineStr">
        <is>
          <t>State Life Insurance Corporation of Pakistan</t>
        </is>
      </c>
      <c r="C2">
        <f>IFERROR(VLOOKUP(B2,Brands!$A:$B,2,FALSE),"")</f>
        <v/>
      </c>
      <c r="D2" t="inlineStr">
        <is>
          <t>meta</t>
        </is>
      </c>
      <c r="E2" t="inlineStr"/>
      <c r="F2" t="inlineStr">
        <is>
          <t>2026-08-27</t>
        </is>
      </c>
      <c r="G2" t="inlineStr">
        <is>
          <t>static</t>
        </is>
      </c>
      <c r="I2" t="inlineStr">
        <is>
          <t>mixed</t>
        </is>
      </c>
      <c r="J2" t="inlineStr">
        <is>
          <t>brand_corporate</t>
        </is>
      </c>
      <c r="K2" t="inlineStr">
        <is>
          <t>faith_compliance</t>
        </is>
      </c>
      <c r="L2" t="inlineStr">
        <is>
          <t>other</t>
        </is>
      </c>
      <c r="M2" t="inlineStr">
        <is>
          <t>reassurance</t>
        </is>
      </c>
      <c r="N2" t="inlineStr">
        <is>
          <t>none</t>
        </is>
      </c>
      <c r="O2" t="inlineStr">
        <is>
          <t>none</t>
        </is>
      </c>
      <c r="P2" t="inlineStr">
        <is>
          <t>mass</t>
        </is>
      </c>
      <c r="Q2" t="inlineStr">
        <is>
          <t>no</t>
        </is>
      </c>
      <c r="R2" t="n">
        <v>1</v>
      </c>
      <c r="T2" t="inlineStr">
        <is>
          <t>https://www.instagram.com/statelifeofficialpakistan/p/Dcd2vnBE2WW/</t>
        </is>
      </c>
      <c r="U2" t="inlineStr">
        <is>
          <t>claude</t>
        </is>
      </c>
      <c r="V2" t="inlineStr">
        <is>
          <t>Eid Milad-un-Nabi greeting. [img: media/statelifeofficialpakistan/Dcd2vnBE2WW.jpg]</t>
        </is>
      </c>
    </row>
    <row r="3">
      <c r="A3">
        <f>IF(B3="","",ROW()-1)</f>
        <v/>
      </c>
      <c r="B3" t="inlineStr">
        <is>
          <t>State Life Insurance Corporation of Pakistan</t>
        </is>
      </c>
      <c r="C3">
        <f>IFERROR(VLOOKUP(B3,Brands!$A:$B,2,FALSE),"")</f>
        <v/>
      </c>
      <c r="D3" t="inlineStr">
        <is>
          <t>meta</t>
        </is>
      </c>
      <c r="E3" t="inlineStr"/>
      <c r="F3" t="inlineStr">
        <is>
          <t>2026-08-27</t>
        </is>
      </c>
      <c r="G3" t="inlineStr">
        <is>
          <t>static</t>
        </is>
      </c>
      <c r="I3" t="inlineStr">
        <is>
          <t>mixed</t>
        </is>
      </c>
      <c r="J3" t="inlineStr">
        <is>
          <t>brand_corporate</t>
        </is>
      </c>
      <c r="K3" t="inlineStr">
        <is>
          <t>brand_corporate</t>
        </is>
      </c>
      <c r="L3" t="inlineStr">
        <is>
          <t>other</t>
        </is>
      </c>
      <c r="M3" t="inlineStr">
        <is>
          <t>pride</t>
        </is>
      </c>
      <c r="N3" t="inlineStr">
        <is>
          <t>none</t>
        </is>
      </c>
      <c r="O3" t="inlineStr">
        <is>
          <t>none</t>
        </is>
      </c>
      <c r="P3" t="inlineStr">
        <is>
          <t>youth</t>
        </is>
      </c>
      <c r="Q3" t="inlineStr">
        <is>
          <t>no</t>
        </is>
      </c>
      <c r="R3" t="n">
        <v>1</v>
      </c>
      <c r="T3" t="inlineStr">
        <is>
          <t>https://www.instagram.com/statelifeofficialpakistan/p/DcdSRaYDJgx/</t>
        </is>
      </c>
      <c r="U3" t="inlineStr">
        <is>
          <t>claude</t>
        </is>
      </c>
      <c r="V3" t="inlineStr">
        <is>
          <t>Qimam Fellowship students at Principal Office. Institutional PR. [img: media/statelifeofficialpakistan/DcdSRaYDJgx.jpg]</t>
        </is>
      </c>
    </row>
    <row r="4">
      <c r="A4">
        <f>IF(B4="","",ROW()-1)</f>
        <v/>
      </c>
      <c r="B4" t="inlineStr">
        <is>
          <t>State Life Insurance Corporation of Pakistan</t>
        </is>
      </c>
      <c r="C4">
        <f>IFERROR(VLOOKUP(B4,Brands!$A:$B,2,FALSE),"")</f>
        <v/>
      </c>
      <c r="D4" t="inlineStr">
        <is>
          <t>meta</t>
        </is>
      </c>
      <c r="E4" t="inlineStr"/>
      <c r="F4" t="inlineStr">
        <is>
          <t>2026-08-27</t>
        </is>
      </c>
      <c r="G4" t="inlineStr">
        <is>
          <t>static</t>
        </is>
      </c>
      <c r="I4" t="inlineStr">
        <is>
          <t>mixed</t>
        </is>
      </c>
      <c r="J4" t="inlineStr">
        <is>
          <t>brand_corporate</t>
        </is>
      </c>
      <c r="K4" t="inlineStr">
        <is>
          <t>brand_corporate</t>
        </is>
      </c>
      <c r="L4" t="inlineStr">
        <is>
          <t>other</t>
        </is>
      </c>
      <c r="M4" t="inlineStr">
        <is>
          <t>pride</t>
        </is>
      </c>
      <c r="N4" t="inlineStr">
        <is>
          <t>none</t>
        </is>
      </c>
      <c r="O4" t="inlineStr">
        <is>
          <t>none</t>
        </is>
      </c>
      <c r="P4" t="inlineStr">
        <is>
          <t>sme_corporate</t>
        </is>
      </c>
      <c r="Q4" t="inlineStr">
        <is>
          <t>no</t>
        </is>
      </c>
      <c r="R4" t="n">
        <v>1</v>
      </c>
      <c r="T4" t="inlineStr">
        <is>
          <t>https://www.instagram.com/statelifeofficialpakistan/p/DcK3NfajCKE/</t>
        </is>
      </c>
      <c r="U4" t="inlineStr">
        <is>
          <t>claude</t>
        </is>
      </c>
      <c r="V4" t="inlineStr">
        <is>
          <t>Divisional Head at infrastructure conference. Grip-and-grin. [img: media/statelifeofficialpakistan/DcK3NfajCKE.jpg]</t>
        </is>
      </c>
    </row>
    <row r="5">
      <c r="A5">
        <f>IF(B5="","",ROW()-1)</f>
        <v/>
      </c>
      <c r="B5" t="inlineStr">
        <is>
          <t>State Life Insurance Corporation of Pakistan</t>
        </is>
      </c>
      <c r="C5">
        <f>IFERROR(VLOOKUP(B5,Brands!$A:$B,2,FALSE),"")</f>
        <v/>
      </c>
      <c r="D5" t="inlineStr">
        <is>
          <t>meta</t>
        </is>
      </c>
      <c r="E5" t="inlineStr"/>
      <c r="F5" t="inlineStr">
        <is>
          <t>2026-08-27</t>
        </is>
      </c>
      <c r="G5" t="inlineStr">
        <is>
          <t>static</t>
        </is>
      </c>
      <c r="I5" t="inlineStr">
        <is>
          <t>mixed</t>
        </is>
      </c>
      <c r="J5" t="inlineStr">
        <is>
          <t>brand_corporate</t>
        </is>
      </c>
      <c r="K5" t="inlineStr">
        <is>
          <t>national_trust</t>
        </is>
      </c>
      <c r="L5" t="inlineStr">
        <is>
          <t>other</t>
        </is>
      </c>
      <c r="M5" t="inlineStr">
        <is>
          <t>pride</t>
        </is>
      </c>
      <c r="N5" t="inlineStr">
        <is>
          <t>none</t>
        </is>
      </c>
      <c r="O5" t="inlineStr">
        <is>
          <t>none</t>
        </is>
      </c>
      <c r="P5" t="inlineStr">
        <is>
          <t>mass</t>
        </is>
      </c>
      <c r="Q5" t="inlineStr">
        <is>
          <t>no</t>
        </is>
      </c>
      <c r="R5" t="n">
        <v>1</v>
      </c>
      <c r="T5" t="inlineStr">
        <is>
          <t>https://www.instagram.com/statelifeofficialpakistan/p/DcByD4DDwQZ/</t>
        </is>
      </c>
      <c r="U5" t="inlineStr">
        <is>
          <t>claude</t>
        </is>
      </c>
      <c r="V5" t="inlineStr">
        <is>
          <t>Flag-raising event photo. [img: media/statelifeofficialpakistan/DcByD4DDwQZ.jpg]</t>
        </is>
      </c>
    </row>
    <row r="6">
      <c r="A6">
        <f>IF(B6="","",ROW()-1)</f>
        <v/>
      </c>
      <c r="B6" t="inlineStr">
        <is>
          <t>State Life Insurance Corporation of Pakistan</t>
        </is>
      </c>
      <c r="C6">
        <f>IFERROR(VLOOKUP(B6,Brands!$A:$B,2,FALSE),"")</f>
        <v/>
      </c>
      <c r="D6" t="inlineStr">
        <is>
          <t>meta</t>
        </is>
      </c>
      <c r="E6" t="inlineStr"/>
      <c r="F6" t="inlineStr">
        <is>
          <t>2026-08-27</t>
        </is>
      </c>
      <c r="G6" t="inlineStr">
        <is>
          <t>static</t>
        </is>
      </c>
      <c r="I6" t="inlineStr">
        <is>
          <t>mixed</t>
        </is>
      </c>
      <c r="J6" t="inlineStr">
        <is>
          <t>brand_corporate</t>
        </is>
      </c>
      <c r="K6" t="inlineStr">
        <is>
          <t>national_trust</t>
        </is>
      </c>
      <c r="L6" t="inlineStr">
        <is>
          <t>other</t>
        </is>
      </c>
      <c r="M6" t="inlineStr">
        <is>
          <t>pride</t>
        </is>
      </c>
      <c r="N6" t="inlineStr">
        <is>
          <t>none</t>
        </is>
      </c>
      <c r="O6" t="inlineStr">
        <is>
          <t>none</t>
        </is>
      </c>
      <c r="P6" t="inlineStr">
        <is>
          <t>mass</t>
        </is>
      </c>
      <c r="Q6" t="inlineStr">
        <is>
          <t>no</t>
        </is>
      </c>
      <c r="R6" t="n">
        <v>1</v>
      </c>
      <c r="T6" t="inlineStr">
        <is>
          <t>https://www.instagram.com/statelifeofficialpakistan/p/Db_cOMoDCos/</t>
        </is>
      </c>
      <c r="U6" t="inlineStr">
        <is>
          <t>claude</t>
        </is>
      </c>
      <c r="V6" t="inlineStr">
        <is>
          <t>'Har Khwab Rahe Azaad' - 79 Years of Freedom. Calendar. [img: media/statelifeofficialpakistan/Db_cOMoDCos.jpg]</t>
        </is>
      </c>
    </row>
    <row r="7">
      <c r="A7">
        <f>IF(B7="","",ROW()-1)</f>
        <v/>
      </c>
      <c r="B7" t="inlineStr">
        <is>
          <t>State Life Insurance Corporation of Pakistan</t>
        </is>
      </c>
      <c r="C7">
        <f>IFERROR(VLOOKUP(B7,Brands!$A:$B,2,FALSE),"")</f>
        <v/>
      </c>
      <c r="D7" t="inlineStr">
        <is>
          <t>meta</t>
        </is>
      </c>
      <c r="E7" t="inlineStr"/>
      <c r="F7" t="inlineStr">
        <is>
          <t>2026-08-27</t>
        </is>
      </c>
      <c r="G7" t="inlineStr">
        <is>
          <t>video</t>
        </is>
      </c>
      <c r="I7" t="inlineStr">
        <is>
          <t>mixed</t>
        </is>
      </c>
      <c r="J7" t="inlineStr">
        <is>
          <t>brand_corporate</t>
        </is>
      </c>
      <c r="K7" t="inlineStr">
        <is>
          <t>brand_corporate</t>
        </is>
      </c>
      <c r="L7" t="inlineStr">
        <is>
          <t>other</t>
        </is>
      </c>
      <c r="M7" t="inlineStr">
        <is>
          <t>pride</t>
        </is>
      </c>
      <c r="N7" t="inlineStr">
        <is>
          <t>expert_authority</t>
        </is>
      </c>
      <c r="O7" t="inlineStr">
        <is>
          <t>none</t>
        </is>
      </c>
      <c r="P7" t="inlineStr">
        <is>
          <t>sme_corporate</t>
        </is>
      </c>
      <c r="Q7" t="inlineStr">
        <is>
          <t>no</t>
        </is>
      </c>
      <c r="R7" t="n">
        <v>1</v>
      </c>
      <c r="T7" t="inlineStr">
        <is>
          <t>https://www.instagram.com/vcastonline/reel/Db5AI2Joex3/</t>
        </is>
      </c>
      <c r="U7" t="inlineStr">
        <is>
          <t>claude</t>
        </is>
      </c>
      <c r="V7" t="inlineStr">
        <is>
          <t>REPOST from @vcastonline. CEO at IAP/PSOA conference: 'Insurance: the quiet driver of growth'. [img: media/statelifeofficialpakistan/Db5AI2Joex3.jpg]</t>
        </is>
      </c>
    </row>
    <row r="8">
      <c r="A8">
        <f>IF(B8="","",ROW()-1)</f>
        <v/>
      </c>
      <c r="B8" t="inlineStr">
        <is>
          <t>State Life Insurance Corporation of Pakistan</t>
        </is>
      </c>
      <c r="C8">
        <f>IFERROR(VLOOKUP(B8,Brands!$A:$B,2,FALSE),"")</f>
        <v/>
      </c>
      <c r="D8" t="inlineStr">
        <is>
          <t>meta</t>
        </is>
      </c>
      <c r="E8" t="inlineStr"/>
      <c r="F8" t="inlineStr">
        <is>
          <t>2026-08-27</t>
        </is>
      </c>
      <c r="G8" t="inlineStr">
        <is>
          <t>static</t>
        </is>
      </c>
      <c r="I8" t="inlineStr">
        <is>
          <t>mixed</t>
        </is>
      </c>
      <c r="J8" t="inlineStr">
        <is>
          <t>brand_corporate</t>
        </is>
      </c>
      <c r="K8" t="inlineStr">
        <is>
          <t>national_trust</t>
        </is>
      </c>
      <c r="L8" t="inlineStr">
        <is>
          <t>other</t>
        </is>
      </c>
      <c r="M8" t="inlineStr">
        <is>
          <t>reassurance</t>
        </is>
      </c>
      <c r="N8" t="inlineStr">
        <is>
          <t>claim_statistics</t>
        </is>
      </c>
      <c r="O8" t="inlineStr">
        <is>
          <t>call_centre</t>
        </is>
      </c>
      <c r="P8" t="inlineStr">
        <is>
          <t>mass</t>
        </is>
      </c>
      <c r="Q8" t="inlineStr">
        <is>
          <t>yes</t>
        </is>
      </c>
      <c r="R8" t="n">
        <v>1</v>
      </c>
      <c r="T8" t="inlineStr">
        <is>
          <t>https://www.instagram.com/statelifeofficialpakistan/p/Db40vJeDIdE/</t>
        </is>
      </c>
      <c r="U8" t="inlineStr">
        <is>
          <t>claude</t>
        </is>
      </c>
      <c r="V8" t="inlineStr">
        <is>
          <t>E-Kachehri: 745 received -&gt; 744 resolved. Bilingual. Grievance-redress framing, not advertising. [img: media/statelifeofficialpakistan/Db40vJeDIdE.jpg]</t>
        </is>
      </c>
    </row>
    <row r="9">
      <c r="A9">
        <f>IF(B9="","",ROW()-1)</f>
        <v/>
      </c>
      <c r="B9" t="inlineStr">
        <is>
          <t>State Life Insurance Corporation of Pakistan</t>
        </is>
      </c>
      <c r="C9">
        <f>IFERROR(VLOOKUP(B9,Brands!$A:$B,2,FALSE),"")</f>
        <v/>
      </c>
      <c r="D9" t="inlineStr">
        <is>
          <t>meta</t>
        </is>
      </c>
      <c r="E9" t="inlineStr"/>
      <c r="F9" t="inlineStr">
        <is>
          <t>2026-08-27</t>
        </is>
      </c>
      <c r="G9" t="inlineStr">
        <is>
          <t>static</t>
        </is>
      </c>
      <c r="I9" t="inlineStr">
        <is>
          <t>mixed</t>
        </is>
      </c>
      <c r="J9" t="inlineStr">
        <is>
          <t>health</t>
        </is>
      </c>
      <c r="K9" t="inlineStr">
        <is>
          <t>protection</t>
        </is>
      </c>
      <c r="L9" t="inlineStr">
        <is>
          <t>other</t>
        </is>
      </c>
      <c r="M9" t="inlineStr">
        <is>
          <t>reassurance</t>
        </is>
      </c>
      <c r="N9" t="inlineStr">
        <is>
          <t>heritage_scale</t>
        </is>
      </c>
      <c r="O9" t="inlineStr">
        <is>
          <t>digital_direct</t>
        </is>
      </c>
      <c r="P9" t="inlineStr">
        <is>
          <t>mass</t>
        </is>
      </c>
      <c r="Q9" t="inlineStr">
        <is>
          <t>no</t>
        </is>
      </c>
      <c r="R9" t="n">
        <v>1</v>
      </c>
      <c r="T9" t="inlineStr">
        <is>
          <t>https://www.instagram.com/statelifeofficialpakistan/p/DbzJUzCgQRC/</t>
        </is>
      </c>
      <c r="U9" t="inlineStr">
        <is>
          <t>claude</t>
        </is>
      </c>
      <c r="V9" t="inlineStr">
        <is>
          <t>CAMPAIGN: 'Healthcare planning starts before you ever need care / PLAN AHEAD'. [img: media/statelifeofficialpakistan/DbzJUzCgQRC.jpg]</t>
        </is>
      </c>
    </row>
    <row r="10">
      <c r="A10">
        <f>IF(B10="","",ROW()-1)</f>
        <v/>
      </c>
      <c r="B10" t="inlineStr">
        <is>
          <t>State Life Insurance Corporation of Pakistan</t>
        </is>
      </c>
      <c r="C10">
        <f>IFERROR(VLOOKUP(B10,Brands!$A:$B,2,FALSE),"")</f>
        <v/>
      </c>
      <c r="D10" t="inlineStr">
        <is>
          <t>meta</t>
        </is>
      </c>
      <c r="E10" t="inlineStr"/>
      <c r="F10" t="inlineStr">
        <is>
          <t>2026-08-27</t>
        </is>
      </c>
      <c r="G10" t="inlineStr">
        <is>
          <t>static</t>
        </is>
      </c>
      <c r="I10" t="inlineStr">
        <is>
          <t>mixed</t>
        </is>
      </c>
      <c r="J10" t="inlineStr">
        <is>
          <t>individual_life</t>
        </is>
      </c>
      <c r="K10" t="inlineStr">
        <is>
          <t>protection</t>
        </is>
      </c>
      <c r="L10" t="inlineStr">
        <is>
          <t>savings_return</t>
        </is>
      </c>
      <c r="M10" t="inlineStr">
        <is>
          <t>aspiration</t>
        </is>
      </c>
      <c r="N10" t="inlineStr">
        <is>
          <t>heritage_scale</t>
        </is>
      </c>
      <c r="O10" t="inlineStr">
        <is>
          <t>digital_direct</t>
        </is>
      </c>
      <c r="P10" t="inlineStr">
        <is>
          <t>mass</t>
        </is>
      </c>
      <c r="Q10" t="inlineStr">
        <is>
          <t>no</t>
        </is>
      </c>
      <c r="R10" t="n">
        <v>1</v>
      </c>
      <c r="T10" t="inlineStr">
        <is>
          <t>https://www.instagram.com/statelifeofficialpakistan/p/DbygIFcEQfj/</t>
        </is>
      </c>
      <c r="U10" t="inlineStr">
        <is>
          <t>claude</t>
        </is>
      </c>
      <c r="V10" t="inlineStr">
        <is>
          <t>CAMPAIGN: 'The best opportunities are easier to seize when you're prepared / PLAN AHEAD'. Skydiving. [img: media/statelifeofficialpakistan/DbygIFcEQfj.jpg]</t>
        </is>
      </c>
    </row>
    <row r="11">
      <c r="A11">
        <f>IF(B11="","",ROW()-1)</f>
        <v/>
      </c>
      <c r="B11" t="inlineStr">
        <is>
          <t>State Life Insurance Corporation of Pakistan</t>
        </is>
      </c>
      <c r="C11">
        <f>IFERROR(VLOOKUP(B11,Brands!$A:$B,2,FALSE),"")</f>
        <v/>
      </c>
      <c r="D11" t="inlineStr">
        <is>
          <t>meta</t>
        </is>
      </c>
      <c r="E11" t="inlineStr"/>
      <c r="F11" t="inlineStr">
        <is>
          <t>2026-08-27</t>
        </is>
      </c>
      <c r="G11" t="inlineStr">
        <is>
          <t>static</t>
        </is>
      </c>
      <c r="I11" t="inlineStr">
        <is>
          <t>mixed</t>
        </is>
      </c>
      <c r="J11" t="inlineStr">
        <is>
          <t>child_education</t>
        </is>
      </c>
      <c r="K11" t="inlineStr">
        <is>
          <t>protection</t>
        </is>
      </c>
      <c r="L11" t="inlineStr">
        <is>
          <t>education_marriage</t>
        </is>
      </c>
      <c r="M11" t="inlineStr">
        <is>
          <t>reassurance</t>
        </is>
      </c>
      <c r="N11" t="inlineStr">
        <is>
          <t>heritage_scale</t>
        </is>
      </c>
      <c r="O11" t="inlineStr">
        <is>
          <t>digital_direct</t>
        </is>
      </c>
      <c r="P11" t="inlineStr">
        <is>
          <t>mass</t>
        </is>
      </c>
      <c r="Q11" t="inlineStr">
        <is>
          <t>no</t>
        </is>
      </c>
      <c r="R11" t="n">
        <v>1</v>
      </c>
      <c r="T11" t="inlineStr">
        <is>
          <t>https://www.instagram.com/statelifeofficialpakistan/p/Dbx2qijjH7a/</t>
        </is>
      </c>
      <c r="U11" t="inlineStr">
        <is>
          <t>claude</t>
        </is>
      </c>
      <c r="V11" t="inlineStr">
        <is>
          <t>CAMPAIGN: 'Education Planning Starts Years Before the Admission Form / PLAN AHEAD WITH STATE LIFE'. Footer claims 'Pakistan's Largest Life and Health Insurer'. [img: media/statelifeofficialpakistan/Dbx2qijjH7a.jpg]</t>
        </is>
      </c>
    </row>
    <row r="12">
      <c r="A12">
        <f>IF(B12="","",ROW()-1)</f>
        <v/>
      </c>
      <c r="B12" t="inlineStr">
        <is>
          <t>State Life Insurance Corporation of Pakistan</t>
        </is>
      </c>
      <c r="C12">
        <f>IFERROR(VLOOKUP(B12,Brands!$A:$B,2,FALSE),"")</f>
        <v/>
      </c>
      <c r="D12" t="inlineStr">
        <is>
          <t>meta</t>
        </is>
      </c>
      <c r="E12" t="inlineStr"/>
      <c r="F12" t="inlineStr">
        <is>
          <t>2026-08-27</t>
        </is>
      </c>
      <c r="G12" t="inlineStr">
        <is>
          <t>static</t>
        </is>
      </c>
      <c r="I12" t="inlineStr">
        <is>
          <t>mixed</t>
        </is>
      </c>
      <c r="J12" t="inlineStr">
        <is>
          <t>brand_corporate</t>
        </is>
      </c>
      <c r="K12" t="inlineStr">
        <is>
          <t>brand_corporate</t>
        </is>
      </c>
      <c r="L12" t="inlineStr">
        <is>
          <t>other</t>
        </is>
      </c>
      <c r="M12" t="inlineStr">
        <is>
          <t>pride</t>
        </is>
      </c>
      <c r="N12" t="inlineStr">
        <is>
          <t>none</t>
        </is>
      </c>
      <c r="O12" t="inlineStr">
        <is>
          <t>none</t>
        </is>
      </c>
      <c r="P12" t="inlineStr">
        <is>
          <t>sme_corporate</t>
        </is>
      </c>
      <c r="Q12" t="inlineStr">
        <is>
          <t>no</t>
        </is>
      </c>
      <c r="R12" t="n">
        <v>1</v>
      </c>
      <c r="T12" t="inlineStr">
        <is>
          <t>https://www.instagram.com/statelifeofficialpakistan/p/DbfQOFYn5_V/</t>
        </is>
      </c>
      <c r="U12" t="inlineStr">
        <is>
          <t>claude</t>
        </is>
      </c>
      <c r="V12" t="inlineStr">
        <is>
          <t>CEO with Federal Minister. Grip-and-grin. [img: media/statelifeofficialpakistan/DbfQOFYn5_V.jpg]</t>
        </is>
      </c>
    </row>
    <row r="13">
      <c r="A13">
        <f>IF(B13="","",ROW()-1)</f>
        <v/>
      </c>
      <c r="B13" t="inlineStr">
        <is>
          <t>State Life Insurance Corporation of Pakistan</t>
        </is>
      </c>
      <c r="C13">
        <f>IFERROR(VLOOKUP(B13,Brands!$A:$B,2,FALSE),"")</f>
        <v/>
      </c>
      <c r="D13" t="inlineStr">
        <is>
          <t>meta</t>
        </is>
      </c>
      <c r="E13" t="inlineStr"/>
      <c r="F13" t="inlineStr">
        <is>
          <t>2026-08-27</t>
        </is>
      </c>
      <c r="G13" t="inlineStr">
        <is>
          <t>video</t>
        </is>
      </c>
      <c r="I13" t="inlineStr">
        <is>
          <t>mixed</t>
        </is>
      </c>
      <c r="J13" t="inlineStr">
        <is>
          <t>unclear</t>
        </is>
      </c>
      <c r="K13" t="inlineStr">
        <is>
          <t>other</t>
        </is>
      </c>
      <c r="L13" t="inlineStr">
        <is>
          <t>other</t>
        </is>
      </c>
      <c r="M13" t="inlineStr">
        <is>
          <t>reassurance</t>
        </is>
      </c>
      <c r="N13" t="inlineStr">
        <is>
          <t>none</t>
        </is>
      </c>
      <c r="O13" t="inlineStr">
        <is>
          <t>none</t>
        </is>
      </c>
      <c r="P13" t="inlineStr">
        <is>
          <t>mass</t>
        </is>
      </c>
      <c r="Q13" t="inlineStr">
        <is>
          <t>no</t>
        </is>
      </c>
      <c r="R13" t="n">
        <v>1</v>
      </c>
      <c r="T13" t="inlineStr">
        <is>
          <t>https://www.instagram.com/statelifeofficialpakistan/reel/DbOTNzjlDXw/</t>
        </is>
      </c>
      <c r="U13" t="inlineStr">
        <is>
          <t>claude</t>
        </is>
      </c>
      <c r="V13" t="inlineStr">
        <is>
          <t>NOT YET CODED - open the full-size file in media/ and code it. [img: media/statelifeofficialpakistan/DbOTNzjlDXw.jpg]</t>
        </is>
      </c>
    </row>
    <row r="14">
      <c r="A14">
        <f>IF(B14="","",ROW()-1)</f>
        <v/>
      </c>
      <c r="B14" t="inlineStr">
        <is>
          <t>EFU Life Assurance</t>
        </is>
      </c>
      <c r="C14">
        <f>IFERROR(VLOOKUP(B14,Brands!$A:$B,2,FALSE),"")</f>
        <v/>
      </c>
      <c r="D14" t="inlineStr">
        <is>
          <t>meta</t>
        </is>
      </c>
      <c r="E14" t="inlineStr"/>
      <c r="F14" t="inlineStr">
        <is>
          <t>2026-08-27</t>
        </is>
      </c>
      <c r="G14" t="inlineStr">
        <is>
          <t>static</t>
        </is>
      </c>
      <c r="I14" t="inlineStr">
        <is>
          <t>mixed</t>
        </is>
      </c>
      <c r="J14" t="inlineStr">
        <is>
          <t>brand_corporate</t>
        </is>
      </c>
      <c r="K14" t="inlineStr">
        <is>
          <t>national_trust</t>
        </is>
      </c>
      <c r="L14" t="inlineStr">
        <is>
          <t>protection</t>
        </is>
      </c>
      <c r="M14" t="inlineStr">
        <is>
          <t>reassurance</t>
        </is>
      </c>
      <c r="N14" t="inlineStr">
        <is>
          <t>expert_authority</t>
        </is>
      </c>
      <c r="O14" t="inlineStr">
        <is>
          <t>none</t>
        </is>
      </c>
      <c r="P14" t="inlineStr">
        <is>
          <t>mass</t>
        </is>
      </c>
      <c r="Q14" t="inlineStr">
        <is>
          <t>no</t>
        </is>
      </c>
      <c r="R14" t="n">
        <v>1</v>
      </c>
      <c r="T14" t="inlineStr">
        <is>
          <t>https://www.instagram.com/efu_life/p/DVdIMC4DE8k/</t>
        </is>
      </c>
      <c r="U14" t="inlineStr">
        <is>
          <t>claude</t>
        </is>
      </c>
      <c r="V14" t="inlineStr">
        <is>
          <t>CEO Mohammed Ali Ahmed: 'STANDING STRONG TOGETHER... safeguarding you'. Closest EFU gets to a trust claim. [img: media/efu_life/DVdIMC4DE8k.jpg]</t>
        </is>
      </c>
    </row>
    <row r="15">
      <c r="A15">
        <f>IF(B15="","",ROW()-1)</f>
        <v/>
      </c>
      <c r="B15" t="inlineStr">
        <is>
          <t>EFU Life Assurance</t>
        </is>
      </c>
      <c r="C15">
        <f>IFERROR(VLOOKUP(B15,Brands!$A:$B,2,FALSE),"")</f>
        <v/>
      </c>
      <c r="D15" t="inlineStr">
        <is>
          <t>meta</t>
        </is>
      </c>
      <c r="E15" t="inlineStr"/>
      <c r="F15" t="inlineStr">
        <is>
          <t>2026-08-27</t>
        </is>
      </c>
      <c r="G15" t="inlineStr">
        <is>
          <t>video</t>
        </is>
      </c>
      <c r="I15" t="inlineStr">
        <is>
          <t>mixed</t>
        </is>
      </c>
      <c r="J15" t="inlineStr">
        <is>
          <t>unclear</t>
        </is>
      </c>
      <c r="K15" t="inlineStr">
        <is>
          <t>other</t>
        </is>
      </c>
      <c r="L15" t="inlineStr">
        <is>
          <t>other</t>
        </is>
      </c>
      <c r="M15" t="inlineStr">
        <is>
          <t>reassurance</t>
        </is>
      </c>
      <c r="N15" t="inlineStr">
        <is>
          <t>none</t>
        </is>
      </c>
      <c r="O15" t="inlineStr">
        <is>
          <t>none</t>
        </is>
      </c>
      <c r="P15" t="inlineStr">
        <is>
          <t>mass</t>
        </is>
      </c>
      <c r="Q15" t="inlineStr">
        <is>
          <t>no</t>
        </is>
      </c>
      <c r="R15" t="n">
        <v>1</v>
      </c>
      <c r="T15" t="inlineStr">
        <is>
          <t>https://www.instagram.com/efu_life/reel/DciavMlFF7k/</t>
        </is>
      </c>
      <c r="U15" t="inlineStr">
        <is>
          <t>claude</t>
        </is>
      </c>
      <c r="V15" t="inlineStr">
        <is>
          <t>NOT YET CODED - open the full-size file in media/ and code it. [img: media/efu_life/DciavMlFF7k.jpg]</t>
        </is>
      </c>
    </row>
    <row r="16">
      <c r="A16">
        <f>IF(B16="","",ROW()-1)</f>
        <v/>
      </c>
      <c r="B16" t="inlineStr">
        <is>
          <t>EFU Life Assurance</t>
        </is>
      </c>
      <c r="C16">
        <f>IFERROR(VLOOKUP(B16,Brands!$A:$B,2,FALSE),"")</f>
        <v/>
      </c>
      <c r="D16" t="inlineStr">
        <is>
          <t>meta</t>
        </is>
      </c>
      <c r="E16" t="inlineStr"/>
      <c r="F16" t="inlineStr">
        <is>
          <t>2026-08-27</t>
        </is>
      </c>
      <c r="G16" t="inlineStr">
        <is>
          <t>video</t>
        </is>
      </c>
      <c r="I16" t="inlineStr">
        <is>
          <t>mixed</t>
        </is>
      </c>
      <c r="J16" t="inlineStr">
        <is>
          <t>brand_corporate</t>
        </is>
      </c>
      <c r="K16" t="inlineStr">
        <is>
          <t>convenience_digital</t>
        </is>
      </c>
      <c r="L16" t="inlineStr">
        <is>
          <t>savings_return</t>
        </is>
      </c>
      <c r="M16" t="inlineStr">
        <is>
          <t>aspiration</t>
        </is>
      </c>
      <c r="N16" t="inlineStr">
        <is>
          <t>none</t>
        </is>
      </c>
      <c r="O16" t="inlineStr">
        <is>
          <t>digital_direct</t>
        </is>
      </c>
      <c r="P16" t="inlineStr">
        <is>
          <t>youth</t>
        </is>
      </c>
      <c r="Q16" t="inlineStr">
        <is>
          <t>no</t>
        </is>
      </c>
      <c r="R16" t="n">
        <v>1</v>
      </c>
      <c r="T16" t="inlineStr">
        <is>
          <t>https://www.instagram.com/efu_life/reel/Dca_LdWEWTe/</t>
        </is>
      </c>
      <c r="U16" t="inlineStr">
        <is>
          <t>claude</t>
        </is>
      </c>
      <c r="V16" t="inlineStr">
        <is>
          <t>Thrive: 'Learn, earn and thrive... jeetain 1000 EFU COINS'. [img: media/efu_life/Dca_LdWEWTe.jpg]</t>
        </is>
      </c>
    </row>
    <row r="17">
      <c r="A17">
        <f>IF(B17="","",ROW()-1)</f>
        <v/>
      </c>
      <c r="B17" t="inlineStr">
        <is>
          <t>EFU Life Assurance</t>
        </is>
      </c>
      <c r="C17">
        <f>IFERROR(VLOOKUP(B17,Brands!$A:$B,2,FALSE),"")</f>
        <v/>
      </c>
      <c r="D17" t="inlineStr">
        <is>
          <t>meta</t>
        </is>
      </c>
      <c r="E17" t="inlineStr"/>
      <c r="F17" t="inlineStr">
        <is>
          <t>2026-08-27</t>
        </is>
      </c>
      <c r="G17" t="inlineStr">
        <is>
          <t>video</t>
        </is>
      </c>
      <c r="I17" t="inlineStr">
        <is>
          <t>mixed</t>
        </is>
      </c>
      <c r="J17" t="inlineStr">
        <is>
          <t>health</t>
        </is>
      </c>
      <c r="K17" t="inlineStr">
        <is>
          <t>convenience_digital</t>
        </is>
      </c>
      <c r="L17" t="inlineStr">
        <is>
          <t>other</t>
        </is>
      </c>
      <c r="M17" t="inlineStr">
        <is>
          <t>aspiration</t>
        </is>
      </c>
      <c r="N17" t="inlineStr">
        <is>
          <t>none</t>
        </is>
      </c>
      <c r="O17" t="inlineStr">
        <is>
          <t>digital_direct</t>
        </is>
      </c>
      <c r="P17" t="inlineStr">
        <is>
          <t>youth</t>
        </is>
      </c>
      <c r="Q17" t="inlineStr">
        <is>
          <t>no</t>
        </is>
      </c>
      <c r="R17" t="n">
        <v>1</v>
      </c>
      <c r="T17" t="inlineStr">
        <is>
          <t>https://www.instagram.com/win.efulife/reel/DcazN3EASRP/</t>
        </is>
      </c>
      <c r="U17" t="inlineStr">
        <is>
          <t>claude</t>
        </is>
      </c>
      <c r="V17" t="inlineStr">
        <is>
          <t>REPOST from @win.efulife. WIN: 'What is your one WIN for today?' [img: media/efu_life/DcazN3EASRP.jpg]</t>
        </is>
      </c>
    </row>
    <row r="18">
      <c r="A18">
        <f>IF(B18="","",ROW()-1)</f>
        <v/>
      </c>
      <c r="B18" t="inlineStr">
        <is>
          <t>EFU Life Assurance</t>
        </is>
      </c>
      <c r="C18">
        <f>IFERROR(VLOOKUP(B18,Brands!$A:$B,2,FALSE),"")</f>
        <v/>
      </c>
      <c r="D18" t="inlineStr">
        <is>
          <t>meta</t>
        </is>
      </c>
      <c r="E18" t="inlineStr"/>
      <c r="F18" t="inlineStr">
        <is>
          <t>2026-08-27</t>
        </is>
      </c>
      <c r="G18" t="inlineStr">
        <is>
          <t>video</t>
        </is>
      </c>
      <c r="I18" t="inlineStr">
        <is>
          <t>mixed</t>
        </is>
      </c>
      <c r="J18" t="inlineStr">
        <is>
          <t>health</t>
        </is>
      </c>
      <c r="K18" t="inlineStr">
        <is>
          <t>price_affordability</t>
        </is>
      </c>
      <c r="L18" t="inlineStr">
        <is>
          <t>other</t>
        </is>
      </c>
      <c r="M18" t="inlineStr">
        <is>
          <t>aspiration</t>
        </is>
      </c>
      <c r="N18" t="inlineStr">
        <is>
          <t>none</t>
        </is>
      </c>
      <c r="O18" t="inlineStr">
        <is>
          <t>retail</t>
        </is>
      </c>
      <c r="P18" t="inlineStr">
        <is>
          <t>women</t>
        </is>
      </c>
      <c r="Q18" t="inlineStr">
        <is>
          <t>no</t>
        </is>
      </c>
      <c r="R18" t="n">
        <v>1</v>
      </c>
      <c r="T18" t="inlineStr">
        <is>
          <t>https://www.instagram.com/efu_life/reel/DcVip3mjbwg/</t>
        </is>
      </c>
      <c r="U18" t="inlineStr">
        <is>
          <t>claude</t>
        </is>
      </c>
      <c r="V18" t="inlineStr">
        <is>
          <t>PRIMUS: 'Confidence starts here', up to 20% off clinic. [img: media/efu_life/DcVip3mjbwg.jpg]</t>
        </is>
      </c>
    </row>
    <row r="19">
      <c r="A19">
        <f>IF(B19="","",ROW()-1)</f>
        <v/>
      </c>
      <c r="B19" t="inlineStr">
        <is>
          <t>EFU Life Assurance</t>
        </is>
      </c>
      <c r="C19">
        <f>IFERROR(VLOOKUP(B19,Brands!$A:$B,2,FALSE),"")</f>
        <v/>
      </c>
      <c r="D19" t="inlineStr">
        <is>
          <t>meta</t>
        </is>
      </c>
      <c r="E19" t="inlineStr"/>
      <c r="F19" t="inlineStr">
        <is>
          <t>2026-08-27</t>
        </is>
      </c>
      <c r="G19" t="inlineStr">
        <is>
          <t>video</t>
        </is>
      </c>
      <c r="I19" t="inlineStr">
        <is>
          <t>mixed</t>
        </is>
      </c>
      <c r="J19" t="inlineStr">
        <is>
          <t>unclear</t>
        </is>
      </c>
      <c r="K19" t="inlineStr">
        <is>
          <t>other</t>
        </is>
      </c>
      <c r="L19" t="inlineStr">
        <is>
          <t>other</t>
        </is>
      </c>
      <c r="M19" t="inlineStr">
        <is>
          <t>reassurance</t>
        </is>
      </c>
      <c r="N19" t="inlineStr">
        <is>
          <t>none</t>
        </is>
      </c>
      <c r="O19" t="inlineStr">
        <is>
          <t>none</t>
        </is>
      </c>
      <c r="P19" t="inlineStr">
        <is>
          <t>mass</t>
        </is>
      </c>
      <c r="Q19" t="inlineStr">
        <is>
          <t>no</t>
        </is>
      </c>
      <c r="R19" t="n">
        <v>1</v>
      </c>
      <c r="T19" t="inlineStr">
        <is>
          <t>https://www.instagram.com/efu_life/reel/DcQZIsPGrnn/</t>
        </is>
      </c>
      <c r="U19" t="inlineStr">
        <is>
          <t>claude</t>
        </is>
      </c>
      <c r="V19" t="inlineStr">
        <is>
          <t>NOT YET CODED - open the full-size file in media/ and code it. [img: media/efu_life/DcQZIsPGrnn.jpg]</t>
        </is>
      </c>
    </row>
    <row r="20">
      <c r="A20">
        <f>IF(B20="","",ROW()-1)</f>
        <v/>
      </c>
      <c r="B20" t="inlineStr">
        <is>
          <t>EFU Life Assurance</t>
        </is>
      </c>
      <c r="C20">
        <f>IFERROR(VLOOKUP(B20,Brands!$A:$B,2,FALSE),"")</f>
        <v/>
      </c>
      <c r="D20" t="inlineStr">
        <is>
          <t>meta</t>
        </is>
      </c>
      <c r="E20" t="inlineStr"/>
      <c r="F20" t="inlineStr">
        <is>
          <t>2026-08-27</t>
        </is>
      </c>
      <c r="G20" t="inlineStr">
        <is>
          <t>video</t>
        </is>
      </c>
      <c r="I20" t="inlineStr">
        <is>
          <t>mixed</t>
        </is>
      </c>
      <c r="J20" t="inlineStr">
        <is>
          <t>brand_corporate</t>
        </is>
      </c>
      <c r="K20" t="inlineStr">
        <is>
          <t>brand_corporate</t>
        </is>
      </c>
      <c r="L20" t="inlineStr">
        <is>
          <t>other</t>
        </is>
      </c>
      <c r="M20" t="inlineStr">
        <is>
          <t>aspiration</t>
        </is>
      </c>
      <c r="N20" t="inlineStr">
        <is>
          <t>none</t>
        </is>
      </c>
      <c r="O20" t="inlineStr">
        <is>
          <t>none</t>
        </is>
      </c>
      <c r="P20" t="inlineStr">
        <is>
          <t>sme_corporate</t>
        </is>
      </c>
      <c r="Q20" t="inlineStr">
        <is>
          <t>no</t>
        </is>
      </c>
      <c r="R20" t="n">
        <v>1</v>
      </c>
      <c r="T20" t="inlineStr">
        <is>
          <t>https://www.instagram.com/efu_life/reel/DcN7TnYjVis/</t>
        </is>
      </c>
      <c r="U20" t="inlineStr">
        <is>
          <t>claude</t>
        </is>
      </c>
      <c r="V20" t="inlineStr">
        <is>
          <t>Nexus Pro management development programme. [img: media/efu_life/DcN7TnYjVis.jpg]</t>
        </is>
      </c>
    </row>
    <row r="21">
      <c r="A21">
        <f>IF(B21="","",ROW()-1)</f>
        <v/>
      </c>
      <c r="B21" t="inlineStr">
        <is>
          <t>EFU Life Assurance</t>
        </is>
      </c>
      <c r="C21">
        <f>IFERROR(VLOOKUP(B21,Brands!$A:$B,2,FALSE),"")</f>
        <v/>
      </c>
      <c r="D21" t="inlineStr">
        <is>
          <t>meta</t>
        </is>
      </c>
      <c r="E21" t="inlineStr"/>
      <c r="F21" t="inlineStr">
        <is>
          <t>2026-08-27</t>
        </is>
      </c>
      <c r="G21" t="inlineStr">
        <is>
          <t>static</t>
        </is>
      </c>
      <c r="I21" t="inlineStr">
        <is>
          <t>mixed</t>
        </is>
      </c>
      <c r="J21" t="inlineStr">
        <is>
          <t>health</t>
        </is>
      </c>
      <c r="K21" t="inlineStr">
        <is>
          <t>convenience_digital</t>
        </is>
      </c>
      <c r="L21" t="inlineStr">
        <is>
          <t>other</t>
        </is>
      </c>
      <c r="M21" t="inlineStr">
        <is>
          <t>reassurance</t>
        </is>
      </c>
      <c r="N21" t="inlineStr">
        <is>
          <t>none</t>
        </is>
      </c>
      <c r="O21" t="inlineStr">
        <is>
          <t>digital_direct</t>
        </is>
      </c>
      <c r="P21" t="inlineStr">
        <is>
          <t>sme_corporate</t>
        </is>
      </c>
      <c r="Q21" t="inlineStr">
        <is>
          <t>no</t>
        </is>
      </c>
      <c r="R21" t="n">
        <v>1</v>
      </c>
      <c r="T21" t="inlineStr">
        <is>
          <t>https://www.instagram.com/efu_life/p/DcNp6fnjfJU/</t>
        </is>
      </c>
      <c r="U21" t="inlineStr">
        <is>
          <t>claude</t>
        </is>
      </c>
      <c r="V21" t="inlineStr">
        <is>
          <t>EFU Life mHealth - 'supporting specialists through connected healthcare'. [img: media/efu_life/DcNp6fnjfJU.jpg]</t>
        </is>
      </c>
    </row>
    <row r="22">
      <c r="A22">
        <f>IF(B22="","",ROW()-1)</f>
        <v/>
      </c>
      <c r="B22" t="inlineStr">
        <is>
          <t>EFU Life Assurance</t>
        </is>
      </c>
      <c r="C22">
        <f>IFERROR(VLOOKUP(B22,Brands!$A:$B,2,FALSE),"")</f>
        <v/>
      </c>
      <c r="D22" t="inlineStr">
        <is>
          <t>meta</t>
        </is>
      </c>
      <c r="E22" t="inlineStr"/>
      <c r="F22" t="inlineStr">
        <is>
          <t>2026-08-27</t>
        </is>
      </c>
      <c r="G22" t="inlineStr">
        <is>
          <t>video</t>
        </is>
      </c>
      <c r="I22" t="inlineStr">
        <is>
          <t>mixed</t>
        </is>
      </c>
      <c r="J22" t="inlineStr">
        <is>
          <t>brand_corporate</t>
        </is>
      </c>
      <c r="K22" t="inlineStr">
        <is>
          <t>price_affordability</t>
        </is>
      </c>
      <c r="L22" t="inlineStr">
        <is>
          <t>convenience_digital</t>
        </is>
      </c>
      <c r="M22" t="inlineStr">
        <is>
          <t>aspiration</t>
        </is>
      </c>
      <c r="N22" t="inlineStr">
        <is>
          <t>none</t>
        </is>
      </c>
      <c r="O22" t="inlineStr">
        <is>
          <t>digital_direct</t>
        </is>
      </c>
      <c r="P22" t="inlineStr">
        <is>
          <t>youth</t>
        </is>
      </c>
      <c r="Q22" t="inlineStr">
        <is>
          <t>no</t>
        </is>
      </c>
      <c r="R22" t="n">
        <v>1</v>
      </c>
      <c r="T22" t="inlineStr">
        <is>
          <t>https://www.instagram.com/win.efulife/reel/DcLWVP1DdZh/</t>
        </is>
      </c>
      <c r="U22" t="inlineStr">
        <is>
          <t>claude</t>
        </is>
      </c>
      <c r="V22" t="inlineStr">
        <is>
          <t>REPOST from @win.efulife. WIN x KraveMart, Rs.500 vouchers. [img: media/efu_life/DcLWVP1DdZh.jpg]</t>
        </is>
      </c>
    </row>
    <row r="23">
      <c r="A23">
        <f>IF(B23="","",ROW()-1)</f>
        <v/>
      </c>
      <c r="B23" t="inlineStr">
        <is>
          <t>EFU Life Assurance</t>
        </is>
      </c>
      <c r="C23">
        <f>IFERROR(VLOOKUP(B23,Brands!$A:$B,2,FALSE),"")</f>
        <v/>
      </c>
      <c r="D23" t="inlineStr">
        <is>
          <t>meta</t>
        </is>
      </c>
      <c r="E23" t="inlineStr"/>
      <c r="F23" t="inlineStr">
        <is>
          <t>2026-08-27</t>
        </is>
      </c>
      <c r="G23" t="inlineStr">
        <is>
          <t>static</t>
        </is>
      </c>
      <c r="I23" t="inlineStr">
        <is>
          <t>mixed</t>
        </is>
      </c>
      <c r="J23" t="inlineStr">
        <is>
          <t>brand_corporate</t>
        </is>
      </c>
      <c r="K23" t="inlineStr">
        <is>
          <t>brand_corporate</t>
        </is>
      </c>
      <c r="L23" t="inlineStr">
        <is>
          <t>other</t>
        </is>
      </c>
      <c r="M23" t="inlineStr">
        <is>
          <t>pride</t>
        </is>
      </c>
      <c r="N23" t="inlineStr">
        <is>
          <t>none</t>
        </is>
      </c>
      <c r="O23" t="inlineStr">
        <is>
          <t>none</t>
        </is>
      </c>
      <c r="P23" t="inlineStr">
        <is>
          <t>sme_corporate</t>
        </is>
      </c>
      <c r="Q23" t="inlineStr">
        <is>
          <t>no</t>
        </is>
      </c>
      <c r="R23" t="n">
        <v>1</v>
      </c>
      <c r="T23" t="inlineStr">
        <is>
          <t>https://www.instagram.com/efu_life/p/DcK-QqLHBqA/</t>
        </is>
      </c>
      <c r="U23" t="inlineStr">
        <is>
          <t>claude</t>
        </is>
      </c>
      <c r="V23" t="inlineStr">
        <is>
          <t>Staff group photo. [img: media/efu_life/DcK-QqLHBqA.jpg]</t>
        </is>
      </c>
    </row>
    <row r="24">
      <c r="A24">
        <f>IF(B24="","",ROW()-1)</f>
        <v/>
      </c>
      <c r="B24" t="inlineStr">
        <is>
          <t>EFU Life Assurance</t>
        </is>
      </c>
      <c r="C24">
        <f>IFERROR(VLOOKUP(B24,Brands!$A:$B,2,FALSE),"")</f>
        <v/>
      </c>
      <c r="D24" t="inlineStr">
        <is>
          <t>meta</t>
        </is>
      </c>
      <c r="E24" t="inlineStr"/>
      <c r="F24" t="inlineStr">
        <is>
          <t>2026-08-27</t>
        </is>
      </c>
      <c r="G24" t="inlineStr">
        <is>
          <t>video</t>
        </is>
      </c>
      <c r="I24" t="inlineStr">
        <is>
          <t>mixed</t>
        </is>
      </c>
      <c r="J24" t="inlineStr">
        <is>
          <t>health</t>
        </is>
      </c>
      <c r="K24" t="inlineStr">
        <is>
          <t>other</t>
        </is>
      </c>
      <c r="L24" t="inlineStr">
        <is>
          <t>other</t>
        </is>
      </c>
      <c r="M24" t="inlineStr">
        <is>
          <t>aspiration</t>
        </is>
      </c>
      <c r="N24" t="inlineStr">
        <is>
          <t>expert_authority</t>
        </is>
      </c>
      <c r="O24" t="inlineStr">
        <is>
          <t>none</t>
        </is>
      </c>
      <c r="P24" t="inlineStr">
        <is>
          <t>women</t>
        </is>
      </c>
      <c r="Q24" t="inlineStr">
        <is>
          <t>no</t>
        </is>
      </c>
      <c r="R24" t="n">
        <v>1</v>
      </c>
      <c r="T24" t="inlineStr">
        <is>
          <t>https://www.instagram.com/win.efulife/reel/DcI9D_fEq-g/</t>
        </is>
      </c>
      <c r="U24" t="inlineStr">
        <is>
          <t>claude</t>
        </is>
      </c>
      <c r="V24" t="inlineStr">
        <is>
          <t>REPOST from @win.efulife. Falak Zehra, Wellness Centre KSBL. Expert talking head. [img: media/efu_life/DcI9D_fEq-g.jpg]</t>
        </is>
      </c>
    </row>
    <row r="25">
      <c r="A25">
        <f>IF(B25="","",ROW()-1)</f>
        <v/>
      </c>
      <c r="B25" t="inlineStr">
        <is>
          <t>EFU Life Assurance</t>
        </is>
      </c>
      <c r="C25">
        <f>IFERROR(VLOOKUP(B25,Brands!$A:$B,2,FALSE),"")</f>
        <v/>
      </c>
      <c r="D25" t="inlineStr">
        <is>
          <t>meta</t>
        </is>
      </c>
      <c r="E25" t="inlineStr"/>
      <c r="F25" t="inlineStr">
        <is>
          <t>2026-08-27</t>
        </is>
      </c>
      <c r="G25" t="inlineStr">
        <is>
          <t>video</t>
        </is>
      </c>
      <c r="I25" t="inlineStr">
        <is>
          <t>mixed</t>
        </is>
      </c>
      <c r="J25" t="inlineStr">
        <is>
          <t>brand_corporate</t>
        </is>
      </c>
      <c r="K25" t="inlineStr">
        <is>
          <t>convenience_digital</t>
        </is>
      </c>
      <c r="L25" t="inlineStr">
        <is>
          <t>savings_return</t>
        </is>
      </c>
      <c r="M25" t="inlineStr">
        <is>
          <t>aspiration</t>
        </is>
      </c>
      <c r="N25" t="inlineStr">
        <is>
          <t>none</t>
        </is>
      </c>
      <c r="O25" t="inlineStr">
        <is>
          <t>digital_direct</t>
        </is>
      </c>
      <c r="P25" t="inlineStr">
        <is>
          <t>youth</t>
        </is>
      </c>
      <c r="Q25" t="inlineStr">
        <is>
          <t>no</t>
        </is>
      </c>
      <c r="R25" t="n">
        <v>1</v>
      </c>
      <c r="T25" t="inlineStr">
        <is>
          <t>https://www.instagram.com/efu_life/reel/DcI7gFrAP1p/</t>
        </is>
      </c>
      <c r="U25" t="inlineStr">
        <is>
          <t>claude</t>
        </is>
      </c>
      <c r="V25" t="inlineStr">
        <is>
          <t>Thrive sign-up, 2000 EFU COINS, 'no paper work'. [img: media/efu_life/DcI7gFrAP1p.jpg]</t>
        </is>
      </c>
    </row>
    <row r="26">
      <c r="A26">
        <f>IF(B26="","",ROW()-1)</f>
        <v/>
      </c>
      <c r="B26" t="inlineStr">
        <is>
          <t>Jubilee Life Insurance</t>
        </is>
      </c>
      <c r="C26">
        <f>IFERROR(VLOOKUP(B26,Brands!$A:$B,2,FALSE),"")</f>
        <v/>
      </c>
      <c r="D26" t="inlineStr">
        <is>
          <t>meta</t>
        </is>
      </c>
      <c r="E26" t="inlineStr"/>
      <c r="F26" t="inlineStr">
        <is>
          <t>2026-08-27</t>
        </is>
      </c>
      <c r="G26" t="inlineStr">
        <is>
          <t>video</t>
        </is>
      </c>
      <c r="I26" t="inlineStr">
        <is>
          <t>mixed</t>
        </is>
      </c>
      <c r="J26" t="inlineStr">
        <is>
          <t>brand_corporate</t>
        </is>
      </c>
      <c r="K26" t="inlineStr">
        <is>
          <t>national_trust</t>
        </is>
      </c>
      <c r="L26" t="inlineStr">
        <is>
          <t>protection</t>
        </is>
      </c>
      <c r="M26" t="inlineStr">
        <is>
          <t>reassurance</t>
        </is>
      </c>
      <c r="N26" t="inlineStr">
        <is>
          <t>claim_statistics</t>
        </is>
      </c>
      <c r="O26" t="inlineStr">
        <is>
          <t>none</t>
        </is>
      </c>
      <c r="P26" t="inlineStr">
        <is>
          <t>mass</t>
        </is>
      </c>
      <c r="Q26" t="inlineStr">
        <is>
          <t>yes</t>
        </is>
      </c>
      <c r="R26" t="n">
        <v>1</v>
      </c>
      <c r="T26" t="inlineStr">
        <is>
          <t>https://www.instagram.com/jubileelife/reel/DaKLEGSh1X5/</t>
        </is>
      </c>
      <c r="U26" t="inlineStr">
        <is>
          <t>claude</t>
        </is>
      </c>
      <c r="V26" t="inlineStr">
        <is>
          <t>KEY: 'PKR 54 BILLION CLAIMS PAID IN 2025 / Behind every claim is a promise fulfilled.' Pinned. [img: media/jubileelife/DaKLEGSh1X5.jpg]</t>
        </is>
      </c>
    </row>
    <row r="27">
      <c r="A27">
        <f>IF(B27="","",ROW()-1)</f>
        <v/>
      </c>
      <c r="B27" t="inlineStr">
        <is>
          <t>Jubilee Life Insurance</t>
        </is>
      </c>
      <c r="C27">
        <f>IFERROR(VLOOKUP(B27,Brands!$A:$B,2,FALSE),"")</f>
        <v/>
      </c>
      <c r="D27" t="inlineStr">
        <is>
          <t>meta</t>
        </is>
      </c>
      <c r="E27" t="inlineStr"/>
      <c r="F27" t="inlineStr">
        <is>
          <t>2026-08-27</t>
        </is>
      </c>
      <c r="G27" t="inlineStr">
        <is>
          <t>video</t>
        </is>
      </c>
      <c r="I27" t="inlineStr">
        <is>
          <t>mixed</t>
        </is>
      </c>
      <c r="J27" t="inlineStr">
        <is>
          <t>health</t>
        </is>
      </c>
      <c r="K27" t="inlineStr">
        <is>
          <t>convenience_digital</t>
        </is>
      </c>
      <c r="L27" t="inlineStr">
        <is>
          <t>other</t>
        </is>
      </c>
      <c r="M27" t="inlineStr">
        <is>
          <t>aspiration</t>
        </is>
      </c>
      <c r="N27" t="inlineStr">
        <is>
          <t>testimonial</t>
        </is>
      </c>
      <c r="O27" t="inlineStr">
        <is>
          <t>digital_direct</t>
        </is>
      </c>
      <c r="P27" t="inlineStr">
        <is>
          <t>women</t>
        </is>
      </c>
      <c r="Q27" t="inlineStr">
        <is>
          <t>no</t>
        </is>
      </c>
      <c r="R27" t="n">
        <v>1</v>
      </c>
      <c r="T27" t="inlineStr">
        <is>
          <t>https://www.instagram.com/_its_duha20/reel/DciVEastwvH/</t>
        </is>
      </c>
      <c r="U27" t="inlineStr">
        <is>
          <t>claude</t>
        </is>
      </c>
      <c r="V27" t="inlineStr">
        <is>
          <t>REPOST from @_its_duha20. Creator UGC, Jubilee Active. [img: media/jubileelife/DciVEastwvH.jpg]</t>
        </is>
      </c>
    </row>
    <row r="28">
      <c r="A28">
        <f>IF(B28="","",ROW()-1)</f>
        <v/>
      </c>
      <c r="B28" t="inlineStr">
        <is>
          <t>Jubilee Life Insurance</t>
        </is>
      </c>
      <c r="C28">
        <f>IFERROR(VLOOKUP(B28,Brands!$A:$B,2,FALSE),"")</f>
        <v/>
      </c>
      <c r="D28" t="inlineStr">
        <is>
          <t>meta</t>
        </is>
      </c>
      <c r="E28" t="inlineStr"/>
      <c r="F28" t="inlineStr">
        <is>
          <t>2026-08-27</t>
        </is>
      </c>
      <c r="G28" t="inlineStr">
        <is>
          <t>video</t>
        </is>
      </c>
      <c r="I28" t="inlineStr">
        <is>
          <t>mixed</t>
        </is>
      </c>
      <c r="J28" t="inlineStr">
        <is>
          <t>health</t>
        </is>
      </c>
      <c r="K28" t="inlineStr">
        <is>
          <t>convenience_digital</t>
        </is>
      </c>
      <c r="L28" t="inlineStr">
        <is>
          <t>price_affordability</t>
        </is>
      </c>
      <c r="M28" t="inlineStr">
        <is>
          <t>aspiration</t>
        </is>
      </c>
      <c r="N28" t="inlineStr">
        <is>
          <t>none</t>
        </is>
      </c>
      <c r="O28" t="inlineStr">
        <is>
          <t>digital_direct</t>
        </is>
      </c>
      <c r="P28" t="inlineStr">
        <is>
          <t>youth</t>
        </is>
      </c>
      <c r="Q28" t="inlineStr">
        <is>
          <t>no</t>
        </is>
      </c>
      <c r="R28" t="n">
        <v>1</v>
      </c>
      <c r="T28" t="inlineStr">
        <is>
          <t>https://www.instagram.com/fitellect/reel/DceHneNo1lK/</t>
        </is>
      </c>
      <c r="U28" t="inlineStr">
        <is>
          <t>claude</t>
        </is>
      </c>
      <c r="V28" t="inlineStr">
        <is>
          <t>REPOST from @fitellect. Jubilee Active app: steps, points, redeem. [img: media/jubileelife/DceHneNo1lK.jpg]</t>
        </is>
      </c>
    </row>
    <row r="29">
      <c r="A29">
        <f>IF(B29="","",ROW()-1)</f>
        <v/>
      </c>
      <c r="B29" t="inlineStr">
        <is>
          <t>Jubilee Life Insurance</t>
        </is>
      </c>
      <c r="C29">
        <f>IFERROR(VLOOKUP(B29,Brands!$A:$B,2,FALSE),"")</f>
        <v/>
      </c>
      <c r="D29" t="inlineStr">
        <is>
          <t>meta</t>
        </is>
      </c>
      <c r="E29" t="inlineStr"/>
      <c r="F29" t="inlineStr">
        <is>
          <t>2026-08-27</t>
        </is>
      </c>
      <c r="G29" t="inlineStr">
        <is>
          <t>static</t>
        </is>
      </c>
      <c r="I29" t="inlineStr">
        <is>
          <t>mixed</t>
        </is>
      </c>
      <c r="J29" t="inlineStr">
        <is>
          <t>brand_corporate</t>
        </is>
      </c>
      <c r="K29" t="inlineStr">
        <is>
          <t>brand_corporate</t>
        </is>
      </c>
      <c r="L29" t="inlineStr">
        <is>
          <t>other</t>
        </is>
      </c>
      <c r="M29" t="inlineStr">
        <is>
          <t>aspiration</t>
        </is>
      </c>
      <c r="N29" t="inlineStr">
        <is>
          <t>none</t>
        </is>
      </c>
      <c r="O29" t="inlineStr">
        <is>
          <t>none</t>
        </is>
      </c>
      <c r="P29" t="inlineStr">
        <is>
          <t>youth</t>
        </is>
      </c>
      <c r="Q29" t="inlineStr">
        <is>
          <t>no</t>
        </is>
      </c>
      <c r="R29" t="n">
        <v>1</v>
      </c>
      <c r="T29" t="inlineStr">
        <is>
          <t>https://www.instagram.com/jubileelife/p/DcdnGakiGqB/</t>
        </is>
      </c>
      <c r="U29" t="inlineStr">
        <is>
          <t>claude</t>
        </is>
      </c>
      <c r="V29" t="inlineStr">
        <is>
          <t>Iqra University Job Fair. Recruitment. [img: media/jubileelife/DcdnGakiGqB.jpg]</t>
        </is>
      </c>
    </row>
    <row r="30">
      <c r="A30">
        <f>IF(B30="","",ROW()-1)</f>
        <v/>
      </c>
      <c r="B30" t="inlineStr">
        <is>
          <t>Jubilee Life Insurance</t>
        </is>
      </c>
      <c r="C30">
        <f>IFERROR(VLOOKUP(B30,Brands!$A:$B,2,FALSE),"")</f>
        <v/>
      </c>
      <c r="D30" t="inlineStr">
        <is>
          <t>meta</t>
        </is>
      </c>
      <c r="E30" t="inlineStr"/>
      <c r="F30" t="inlineStr">
        <is>
          <t>2026-08-27</t>
        </is>
      </c>
      <c r="G30" t="inlineStr">
        <is>
          <t>video</t>
        </is>
      </c>
      <c r="I30" t="inlineStr">
        <is>
          <t>mixed</t>
        </is>
      </c>
      <c r="J30" t="inlineStr">
        <is>
          <t>health</t>
        </is>
      </c>
      <c r="K30" t="inlineStr">
        <is>
          <t>convenience_digital</t>
        </is>
      </c>
      <c r="L30" t="inlineStr">
        <is>
          <t>other</t>
        </is>
      </c>
      <c r="M30" t="inlineStr">
        <is>
          <t>aspiration</t>
        </is>
      </c>
      <c r="N30" t="inlineStr">
        <is>
          <t>testimonial</t>
        </is>
      </c>
      <c r="O30" t="inlineStr">
        <is>
          <t>digital_direct</t>
        </is>
      </c>
      <c r="P30" t="inlineStr">
        <is>
          <t>youth</t>
        </is>
      </c>
      <c r="Q30" t="inlineStr">
        <is>
          <t>no</t>
        </is>
      </c>
      <c r="R30" t="n">
        <v>1</v>
      </c>
      <c r="T30" t="inlineStr">
        <is>
          <t>https://www.instagram.com/kiranashfaquehusseindar/reel/Dcdf27ktk9U/</t>
        </is>
      </c>
      <c r="U30" t="inlineStr">
        <is>
          <t>claude</t>
        </is>
      </c>
      <c r="V30" t="inlineStr">
        <is>
          <t>REPOST from @kiranashfaquehusseindar. 'Food/Health' creator content. [img: media/jubileelife/Dcdf27ktk9U.jpg]</t>
        </is>
      </c>
    </row>
    <row r="31">
      <c r="A31">
        <f>IF(B31="","",ROW()-1)</f>
        <v/>
      </c>
      <c r="B31" t="inlineStr">
        <is>
          <t>Jubilee Life Insurance</t>
        </is>
      </c>
      <c r="C31">
        <f>IFERROR(VLOOKUP(B31,Brands!$A:$B,2,FALSE),"")</f>
        <v/>
      </c>
      <c r="D31" t="inlineStr">
        <is>
          <t>meta</t>
        </is>
      </c>
      <c r="E31" t="inlineStr"/>
      <c r="F31" t="inlineStr">
        <is>
          <t>2026-08-27</t>
        </is>
      </c>
      <c r="G31" t="inlineStr">
        <is>
          <t>video</t>
        </is>
      </c>
      <c r="I31" t="inlineStr">
        <is>
          <t>mixed</t>
        </is>
      </c>
      <c r="J31" t="inlineStr">
        <is>
          <t>health</t>
        </is>
      </c>
      <c r="K31" t="inlineStr">
        <is>
          <t>convenience_digital</t>
        </is>
      </c>
      <c r="L31" t="inlineStr">
        <is>
          <t>other</t>
        </is>
      </c>
      <c r="M31" t="inlineStr">
        <is>
          <t>aspiration</t>
        </is>
      </c>
      <c r="N31" t="inlineStr">
        <is>
          <t>testimonial</t>
        </is>
      </c>
      <c r="O31" t="inlineStr">
        <is>
          <t>digital_direct</t>
        </is>
      </c>
      <c r="P31" t="inlineStr">
        <is>
          <t>youth</t>
        </is>
      </c>
      <c r="Q31" t="inlineStr">
        <is>
          <t>no</t>
        </is>
      </c>
      <c r="R31" t="n">
        <v>1</v>
      </c>
      <c r="T31" t="inlineStr">
        <is>
          <t>https://www.instagram.com/anum_nadeemm/reel/DcdXP-dJM0H/</t>
        </is>
      </c>
      <c r="U31" t="inlineStr">
        <is>
          <t>claude</t>
        </is>
      </c>
      <c r="V31" t="inlineStr">
        <is>
          <t>REPOST from @anum_nadeemm. Creator UGC, fitness. [img: media/jubileelife/DcdXP-dJM0H.jpg]</t>
        </is>
      </c>
    </row>
    <row r="32">
      <c r="A32">
        <f>IF(B32="","",ROW()-1)</f>
        <v/>
      </c>
      <c r="B32" t="inlineStr">
        <is>
          <t>Jubilee Life Insurance</t>
        </is>
      </c>
      <c r="C32">
        <f>IFERROR(VLOOKUP(B32,Brands!$A:$B,2,FALSE),"")</f>
        <v/>
      </c>
      <c r="D32" t="inlineStr">
        <is>
          <t>meta</t>
        </is>
      </c>
      <c r="E32" t="inlineStr"/>
      <c r="F32" t="inlineStr">
        <is>
          <t>2026-08-27</t>
        </is>
      </c>
      <c r="G32" t="inlineStr">
        <is>
          <t>static</t>
        </is>
      </c>
      <c r="I32" t="inlineStr">
        <is>
          <t>mixed</t>
        </is>
      </c>
      <c r="J32" t="inlineStr">
        <is>
          <t>unclear</t>
        </is>
      </c>
      <c r="K32" t="inlineStr">
        <is>
          <t>other</t>
        </is>
      </c>
      <c r="L32" t="inlineStr">
        <is>
          <t>other</t>
        </is>
      </c>
      <c r="M32" t="inlineStr">
        <is>
          <t>reassurance</t>
        </is>
      </c>
      <c r="N32" t="inlineStr">
        <is>
          <t>none</t>
        </is>
      </c>
      <c r="O32" t="inlineStr">
        <is>
          <t>none</t>
        </is>
      </c>
      <c r="P32" t="inlineStr">
        <is>
          <t>mass</t>
        </is>
      </c>
      <c r="Q32" t="inlineStr">
        <is>
          <t>no</t>
        </is>
      </c>
      <c r="R32" t="n">
        <v>1</v>
      </c>
      <c r="T32" t="inlineStr">
        <is>
          <t>https://www.instagram.com/jubileelife/p/DcdGTrliAY6/</t>
        </is>
      </c>
      <c r="U32" t="inlineStr">
        <is>
          <t>claude</t>
        </is>
      </c>
      <c r="V32" t="inlineStr">
        <is>
          <t>NOT YET CODED - open the full-size file in media/ and code it. [img: media/jubileelife/DcdGTrliAY6.jpg]</t>
        </is>
      </c>
    </row>
    <row r="33">
      <c r="A33">
        <f>IF(B33="","",ROW()-1)</f>
        <v/>
      </c>
      <c r="B33" t="inlineStr">
        <is>
          <t>Jubilee Life Insurance</t>
        </is>
      </c>
      <c r="C33">
        <f>IFERROR(VLOOKUP(B33,Brands!$A:$B,2,FALSE),"")</f>
        <v/>
      </c>
      <c r="D33" t="inlineStr">
        <is>
          <t>meta</t>
        </is>
      </c>
      <c r="E33" t="inlineStr"/>
      <c r="F33" t="inlineStr">
        <is>
          <t>2026-08-27</t>
        </is>
      </c>
      <c r="G33" t="inlineStr">
        <is>
          <t>video</t>
        </is>
      </c>
      <c r="I33" t="inlineStr">
        <is>
          <t>mixed</t>
        </is>
      </c>
      <c r="J33" t="inlineStr">
        <is>
          <t>unclear</t>
        </is>
      </c>
      <c r="K33" t="inlineStr">
        <is>
          <t>other</t>
        </is>
      </c>
      <c r="L33" t="inlineStr">
        <is>
          <t>other</t>
        </is>
      </c>
      <c r="M33" t="inlineStr">
        <is>
          <t>reassurance</t>
        </is>
      </c>
      <c r="N33" t="inlineStr">
        <is>
          <t>none</t>
        </is>
      </c>
      <c r="O33" t="inlineStr">
        <is>
          <t>none</t>
        </is>
      </c>
      <c r="P33" t="inlineStr">
        <is>
          <t>mass</t>
        </is>
      </c>
      <c r="Q33" t="inlineStr">
        <is>
          <t>no</t>
        </is>
      </c>
      <c r="R33" t="n">
        <v>1</v>
      </c>
      <c r="T33" t="inlineStr">
        <is>
          <t>https://www.instagram.com/jubileelife/reel/Dcc1kliCaRT/</t>
        </is>
      </c>
      <c r="U33" t="inlineStr">
        <is>
          <t>claude</t>
        </is>
      </c>
      <c r="V33" t="inlineStr">
        <is>
          <t>NOT YET CODED - open the full-size file in media/ and code it. [img: media/jubileelife/Dcc1kliCaRT.jpg]</t>
        </is>
      </c>
    </row>
    <row r="34">
      <c r="A34">
        <f>IF(B34="","",ROW()-1)</f>
        <v/>
      </c>
      <c r="B34" t="inlineStr">
        <is>
          <t>Jubilee Life Insurance</t>
        </is>
      </c>
      <c r="C34">
        <f>IFERROR(VLOOKUP(B34,Brands!$A:$B,2,FALSE),"")</f>
        <v/>
      </c>
      <c r="D34" t="inlineStr">
        <is>
          <t>meta</t>
        </is>
      </c>
      <c r="E34" t="inlineStr"/>
      <c r="F34" t="inlineStr">
        <is>
          <t>2026-08-27</t>
        </is>
      </c>
      <c r="G34" t="inlineStr">
        <is>
          <t>video</t>
        </is>
      </c>
      <c r="I34" t="inlineStr">
        <is>
          <t>mixed</t>
        </is>
      </c>
      <c r="J34" t="inlineStr">
        <is>
          <t>health</t>
        </is>
      </c>
      <c r="K34" t="inlineStr">
        <is>
          <t>price_affordability</t>
        </is>
      </c>
      <c r="L34" t="inlineStr">
        <is>
          <t>convenience_digital</t>
        </is>
      </c>
      <c r="M34" t="inlineStr">
        <is>
          <t>aspiration</t>
        </is>
      </c>
      <c r="N34" t="inlineStr">
        <is>
          <t>none</t>
        </is>
      </c>
      <c r="O34" t="inlineStr">
        <is>
          <t>digital_direct</t>
        </is>
      </c>
      <c r="P34" t="inlineStr">
        <is>
          <t>mass</t>
        </is>
      </c>
      <c r="Q34" t="inlineStr">
        <is>
          <t>no</t>
        </is>
      </c>
      <c r="R34" t="n">
        <v>1</v>
      </c>
      <c r="T34" t="inlineStr">
        <is>
          <t>https://www.instagram.com/jubileelife/reel/Dcc1kfVAQlg/</t>
        </is>
      </c>
      <c r="U34" t="inlineStr">
        <is>
          <t>claude</t>
        </is>
      </c>
      <c r="V34" t="inlineStr">
        <is>
          <t>10% discount - labs, radiology, consultations. [img: media/jubileelife/Dcc1kfVAQlg.jpg]</t>
        </is>
      </c>
    </row>
    <row r="35">
      <c r="A35">
        <f>IF(B35="","",ROW()-1)</f>
        <v/>
      </c>
      <c r="B35" t="inlineStr">
        <is>
          <t>Jubilee Life Insurance</t>
        </is>
      </c>
      <c r="C35">
        <f>IFERROR(VLOOKUP(B35,Brands!$A:$B,2,FALSE),"")</f>
        <v/>
      </c>
      <c r="D35" t="inlineStr">
        <is>
          <t>meta</t>
        </is>
      </c>
      <c r="E35" t="inlineStr"/>
      <c r="F35" t="inlineStr">
        <is>
          <t>2026-08-27</t>
        </is>
      </c>
      <c r="G35" t="inlineStr">
        <is>
          <t>video</t>
        </is>
      </c>
      <c r="I35" t="inlineStr">
        <is>
          <t>mixed</t>
        </is>
      </c>
      <c r="J35" t="inlineStr">
        <is>
          <t>health</t>
        </is>
      </c>
      <c r="K35" t="inlineStr">
        <is>
          <t>convenience_digital</t>
        </is>
      </c>
      <c r="L35" t="inlineStr">
        <is>
          <t>other</t>
        </is>
      </c>
      <c r="M35" t="inlineStr">
        <is>
          <t>aspiration</t>
        </is>
      </c>
      <c r="N35" t="inlineStr">
        <is>
          <t>testimonial</t>
        </is>
      </c>
      <c r="O35" t="inlineStr">
        <is>
          <t>digital_direct</t>
        </is>
      </c>
      <c r="P35" t="inlineStr">
        <is>
          <t>youth</t>
        </is>
      </c>
      <c r="Q35" t="inlineStr">
        <is>
          <t>no</t>
        </is>
      </c>
      <c r="R35" t="n">
        <v>1</v>
      </c>
      <c r="T35" t="inlineStr">
        <is>
          <t>https://www.instagram.com/glamandlights/reel/Dcbi4YpNL_0/</t>
        </is>
      </c>
      <c r="U35" t="inlineStr">
        <is>
          <t>claude</t>
        </is>
      </c>
      <c r="V35" t="inlineStr">
        <is>
          <t>REPOST from @glamandlights. UGC: 'I have been using Jubilee Active'. [img: media/jubileelife/Dcbi4YpNL_0.jpg]</t>
        </is>
      </c>
    </row>
    <row r="36">
      <c r="A36">
        <f>IF(B36="","",ROW()-1)</f>
        <v/>
      </c>
      <c r="B36" t="inlineStr">
        <is>
          <t>Jubilee Life Insurance</t>
        </is>
      </c>
      <c r="C36">
        <f>IFERROR(VLOOKUP(B36,Brands!$A:$B,2,FALSE),"")</f>
        <v/>
      </c>
      <c r="D36" t="inlineStr">
        <is>
          <t>meta</t>
        </is>
      </c>
      <c r="E36" t="inlineStr"/>
      <c r="F36" t="inlineStr">
        <is>
          <t>2026-08-27</t>
        </is>
      </c>
      <c r="G36" t="inlineStr">
        <is>
          <t>video</t>
        </is>
      </c>
      <c r="I36" t="inlineStr">
        <is>
          <t>mixed</t>
        </is>
      </c>
      <c r="J36" t="inlineStr">
        <is>
          <t>health</t>
        </is>
      </c>
      <c r="K36" t="inlineStr">
        <is>
          <t>convenience_digital</t>
        </is>
      </c>
      <c r="L36" t="inlineStr">
        <is>
          <t>other</t>
        </is>
      </c>
      <c r="M36" t="inlineStr">
        <is>
          <t>aspiration</t>
        </is>
      </c>
      <c r="N36" t="inlineStr">
        <is>
          <t>testimonial</t>
        </is>
      </c>
      <c r="O36" t="inlineStr">
        <is>
          <t>digital_direct</t>
        </is>
      </c>
      <c r="P36" t="inlineStr">
        <is>
          <t>youth</t>
        </is>
      </c>
      <c r="Q36" t="inlineStr">
        <is>
          <t>no</t>
        </is>
      </c>
      <c r="R36" t="n">
        <v>1</v>
      </c>
      <c r="T36" t="inlineStr">
        <is>
          <t>https://www.instagram.com/maryamsoomro._/reel/DcbbO6GsuM_/</t>
        </is>
      </c>
      <c r="U36" t="inlineStr">
        <is>
          <t>claude</t>
        </is>
      </c>
      <c r="V36" t="inlineStr">
        <is>
          <t>REPOST from @maryamsoomro._. Creator UGC, Jubilee Active. [img: media/jubileelife/DcbbO6GsuM_.jpg]</t>
        </is>
      </c>
    </row>
    <row r="37">
      <c r="A37">
        <f>IF(B37="","",ROW()-1)</f>
        <v/>
      </c>
      <c r="B37" t="inlineStr">
        <is>
          <t>Jubilee Life Insurance</t>
        </is>
      </c>
      <c r="C37">
        <f>IFERROR(VLOOKUP(B37,Brands!$A:$B,2,FALSE),"")</f>
        <v/>
      </c>
      <c r="D37" t="inlineStr">
        <is>
          <t>meta</t>
        </is>
      </c>
      <c r="E37" t="inlineStr"/>
      <c r="F37" t="inlineStr">
        <is>
          <t>2026-08-27</t>
        </is>
      </c>
      <c r="G37" t="inlineStr">
        <is>
          <t>video</t>
        </is>
      </c>
      <c r="I37" t="inlineStr">
        <is>
          <t>mixed</t>
        </is>
      </c>
      <c r="J37" t="inlineStr">
        <is>
          <t>health</t>
        </is>
      </c>
      <c r="K37" t="inlineStr">
        <is>
          <t>price_affordability</t>
        </is>
      </c>
      <c r="L37" t="inlineStr">
        <is>
          <t>convenience_digital</t>
        </is>
      </c>
      <c r="M37" t="inlineStr">
        <is>
          <t>aspiration</t>
        </is>
      </c>
      <c r="N37" t="inlineStr">
        <is>
          <t>none</t>
        </is>
      </c>
      <c r="O37" t="inlineStr">
        <is>
          <t>digital_direct</t>
        </is>
      </c>
      <c r="P37" t="inlineStr">
        <is>
          <t>mass</t>
        </is>
      </c>
      <c r="Q37" t="inlineStr">
        <is>
          <t>no</t>
        </is>
      </c>
      <c r="R37" t="n">
        <v>1</v>
      </c>
      <c r="T37" t="inlineStr">
        <is>
          <t>https://www.instagram.com/jubileelife/reel/DcaZMaQiguj/</t>
        </is>
      </c>
      <c r="U37" t="inlineStr">
        <is>
          <t>claude</t>
        </is>
      </c>
      <c r="V37" t="inlineStr">
        <is>
          <t>Jubilee Active: 40% discount, laboratory. [img: media/jubileelife/DcaZMaQiguj.jpg]</t>
        </is>
      </c>
    </row>
    <row r="38">
      <c r="A38">
        <f>IF(B38="","",ROW()-1)</f>
        <v/>
      </c>
      <c r="B38" t="inlineStr">
        <is>
          <t>Adamjee Life Assurance</t>
        </is>
      </c>
      <c r="C38">
        <f>IFERROR(VLOOKUP(B38,Brands!$A:$B,2,FALSE),"")</f>
        <v/>
      </c>
      <c r="D38" t="inlineStr">
        <is>
          <t>meta</t>
        </is>
      </c>
      <c r="E38" t="inlineStr"/>
      <c r="F38" t="inlineStr">
        <is>
          <t>2026-08-27</t>
        </is>
      </c>
      <c r="G38" t="inlineStr">
        <is>
          <t>video</t>
        </is>
      </c>
      <c r="I38" t="inlineStr">
        <is>
          <t>mixed</t>
        </is>
      </c>
      <c r="J38" t="inlineStr">
        <is>
          <t>individual_life</t>
        </is>
      </c>
      <c r="K38" t="inlineStr">
        <is>
          <t>other</t>
        </is>
      </c>
      <c r="L38" t="inlineStr">
        <is>
          <t>other</t>
        </is>
      </c>
      <c r="M38" t="inlineStr">
        <is>
          <t>aspiration</t>
        </is>
      </c>
      <c r="N38" t="inlineStr">
        <is>
          <t>none</t>
        </is>
      </c>
      <c r="O38" t="inlineStr">
        <is>
          <t>none</t>
        </is>
      </c>
      <c r="P38" t="inlineStr">
        <is>
          <t>youth</t>
        </is>
      </c>
      <c r="Q38" t="inlineStr">
        <is>
          <t>no</t>
        </is>
      </c>
      <c r="R38" t="n">
        <v>1</v>
      </c>
      <c r="T38" t="inlineStr">
        <is>
          <t>https://www.instagram.com/adamjeelifeassurance/reel/DVN44h_ABrE/</t>
        </is>
      </c>
      <c r="U38" t="inlineStr">
        <is>
          <t>claude</t>
        </is>
      </c>
      <c r="V38" t="inlineStr">
        <is>
          <t>Film still, three young men. Message not readable at thumbnail size. [img: media/adamjeelifeassurance/DVN44h_ABrE.jpg]</t>
        </is>
      </c>
    </row>
    <row r="39">
      <c r="A39">
        <f>IF(B39="","",ROW()-1)</f>
        <v/>
      </c>
      <c r="B39" t="inlineStr">
        <is>
          <t>Adamjee Life Assurance</t>
        </is>
      </c>
      <c r="C39">
        <f>IFERROR(VLOOKUP(B39,Brands!$A:$B,2,FALSE),"")</f>
        <v/>
      </c>
      <c r="D39" t="inlineStr">
        <is>
          <t>meta</t>
        </is>
      </c>
      <c r="E39" t="inlineStr"/>
      <c r="F39" t="inlineStr">
        <is>
          <t>2026-08-27</t>
        </is>
      </c>
      <c r="G39" t="inlineStr">
        <is>
          <t>video</t>
        </is>
      </c>
      <c r="I39" t="inlineStr">
        <is>
          <t>mixed</t>
        </is>
      </c>
      <c r="J39" t="inlineStr">
        <is>
          <t>unclear</t>
        </is>
      </c>
      <c r="K39" t="inlineStr">
        <is>
          <t>other</t>
        </is>
      </c>
      <c r="L39" t="inlineStr">
        <is>
          <t>other</t>
        </is>
      </c>
      <c r="M39" t="inlineStr">
        <is>
          <t>reassurance</t>
        </is>
      </c>
      <c r="N39" t="inlineStr">
        <is>
          <t>none</t>
        </is>
      </c>
      <c r="O39" t="inlineStr">
        <is>
          <t>none</t>
        </is>
      </c>
      <c r="P39" t="inlineStr">
        <is>
          <t>mass</t>
        </is>
      </c>
      <c r="Q39" t="inlineStr">
        <is>
          <t>no</t>
        </is>
      </c>
      <c r="R39" t="n">
        <v>1</v>
      </c>
      <c r="T39" t="inlineStr">
        <is>
          <t>https://www.instagram.com/adamjeelifeassurance/reel/DU-cDpIgMZ1/</t>
        </is>
      </c>
      <c r="U39" t="inlineStr">
        <is>
          <t>claude</t>
        </is>
      </c>
      <c r="V39" t="inlineStr">
        <is>
          <t>NOT YET CODED - open the full-size file in media/ and code it. [img: media/adamjeelifeassurance/DU-cDpIgMZ1.jpg]</t>
        </is>
      </c>
    </row>
    <row r="40">
      <c r="A40">
        <f>IF(B40="","",ROW()-1)</f>
        <v/>
      </c>
      <c r="B40" t="inlineStr">
        <is>
          <t>Adamjee Life Assurance</t>
        </is>
      </c>
      <c r="C40">
        <f>IFERROR(VLOOKUP(B40,Brands!$A:$B,2,FALSE),"")</f>
        <v/>
      </c>
      <c r="D40" t="inlineStr">
        <is>
          <t>meta</t>
        </is>
      </c>
      <c r="E40" t="inlineStr"/>
      <c r="F40" t="inlineStr">
        <is>
          <t>2026-08-27</t>
        </is>
      </c>
      <c r="G40" t="inlineStr">
        <is>
          <t>video</t>
        </is>
      </c>
      <c r="I40" t="inlineStr">
        <is>
          <t>mixed</t>
        </is>
      </c>
      <c r="J40" t="inlineStr">
        <is>
          <t>unclear</t>
        </is>
      </c>
      <c r="K40" t="inlineStr">
        <is>
          <t>other</t>
        </is>
      </c>
      <c r="L40" t="inlineStr">
        <is>
          <t>other</t>
        </is>
      </c>
      <c r="M40" t="inlineStr">
        <is>
          <t>reassurance</t>
        </is>
      </c>
      <c r="N40" t="inlineStr">
        <is>
          <t>none</t>
        </is>
      </c>
      <c r="O40" t="inlineStr">
        <is>
          <t>none</t>
        </is>
      </c>
      <c r="P40" t="inlineStr">
        <is>
          <t>mass</t>
        </is>
      </c>
      <c r="Q40" t="inlineStr">
        <is>
          <t>no</t>
        </is>
      </c>
      <c r="R40" t="n">
        <v>1</v>
      </c>
      <c r="T40" t="inlineStr">
        <is>
          <t>https://www.instagram.com/adamjeelifeassurance/reel/DUvXTlGAams/</t>
        </is>
      </c>
      <c r="U40" t="inlineStr">
        <is>
          <t>claude</t>
        </is>
      </c>
      <c r="V40" t="inlineStr">
        <is>
          <t>NOT YET CODED - open the full-size file in media/ and code it. [img: media/adamjeelifeassurance/DUvXTlGAams.jpg]</t>
        </is>
      </c>
    </row>
    <row r="41">
      <c r="A41">
        <f>IF(B41="","",ROW()-1)</f>
        <v/>
      </c>
      <c r="B41" t="inlineStr">
        <is>
          <t>Adamjee Life Assurance</t>
        </is>
      </c>
      <c r="C41">
        <f>IFERROR(VLOOKUP(B41,Brands!$A:$B,2,FALSE),"")</f>
        <v/>
      </c>
      <c r="D41" t="inlineStr">
        <is>
          <t>meta</t>
        </is>
      </c>
      <c r="E41" t="inlineStr"/>
      <c r="F41" t="inlineStr">
        <is>
          <t>2026-08-27</t>
        </is>
      </c>
      <c r="G41" t="inlineStr">
        <is>
          <t>static</t>
        </is>
      </c>
      <c r="I41" t="inlineStr">
        <is>
          <t>mixed</t>
        </is>
      </c>
      <c r="J41" t="inlineStr">
        <is>
          <t>brand_corporate</t>
        </is>
      </c>
      <c r="K41" t="inlineStr">
        <is>
          <t>convenience_digital</t>
        </is>
      </c>
      <c r="L41" t="inlineStr">
        <is>
          <t>other</t>
        </is>
      </c>
      <c r="M41" t="inlineStr">
        <is>
          <t>reassurance</t>
        </is>
      </c>
      <c r="N41" t="inlineStr">
        <is>
          <t>none</t>
        </is>
      </c>
      <c r="O41" t="inlineStr">
        <is>
          <t>digital_direct</t>
        </is>
      </c>
      <c r="P41" t="inlineStr">
        <is>
          <t>mass</t>
        </is>
      </c>
      <c r="Q41" t="inlineStr">
        <is>
          <t>no</t>
        </is>
      </c>
      <c r="R41" t="n">
        <v>1</v>
      </c>
      <c r="T41" t="inlineStr">
        <is>
          <t>https://www.instagram.com/adamjeelifeassurance/p/DcajWyjje2Z/</t>
        </is>
      </c>
      <c r="U41" t="inlineStr">
        <is>
          <t>claude</t>
        </is>
      </c>
      <c r="V41" t="inlineStr">
        <is>
          <t>'Kabhi bhi Kahin bhi' - Quick Pay app, 'Branch visit bhool jao'. [img: media/adamjeelifeassurance/DcajWyjje2Z.jpg]</t>
        </is>
      </c>
    </row>
    <row r="42">
      <c r="A42">
        <f>IF(B42="","",ROW()-1)</f>
        <v/>
      </c>
      <c r="B42" t="inlineStr">
        <is>
          <t>Adamjee Life Assurance</t>
        </is>
      </c>
      <c r="C42">
        <f>IFERROR(VLOOKUP(B42,Brands!$A:$B,2,FALSE),"")</f>
        <v/>
      </c>
      <c r="D42" t="inlineStr">
        <is>
          <t>meta</t>
        </is>
      </c>
      <c r="E42" t="inlineStr"/>
      <c r="F42" t="inlineStr">
        <is>
          <t>2026-08-27</t>
        </is>
      </c>
      <c r="G42" t="inlineStr">
        <is>
          <t>static</t>
        </is>
      </c>
      <c r="I42" t="inlineStr">
        <is>
          <t>mixed</t>
        </is>
      </c>
      <c r="J42" t="inlineStr">
        <is>
          <t>unclear</t>
        </is>
      </c>
      <c r="K42" t="inlineStr">
        <is>
          <t>other</t>
        </is>
      </c>
      <c r="L42" t="inlineStr">
        <is>
          <t>other</t>
        </is>
      </c>
      <c r="M42" t="inlineStr">
        <is>
          <t>reassurance</t>
        </is>
      </c>
      <c r="N42" t="inlineStr">
        <is>
          <t>none</t>
        </is>
      </c>
      <c r="O42" t="inlineStr">
        <is>
          <t>none</t>
        </is>
      </c>
      <c r="P42" t="inlineStr">
        <is>
          <t>mass</t>
        </is>
      </c>
      <c r="Q42" t="inlineStr">
        <is>
          <t>no</t>
        </is>
      </c>
      <c r="R42" t="n">
        <v>1</v>
      </c>
      <c r="T42" t="inlineStr">
        <is>
          <t>https://www.instagram.com/adamjeelifeassurance/p/DcVULHvFxlK/</t>
        </is>
      </c>
      <c r="U42" t="inlineStr">
        <is>
          <t>claude</t>
        </is>
      </c>
      <c r="V42" t="inlineStr">
        <is>
          <t>NOT YET CODED - open the full-size file in media/ and code it. [img: media/adamjeelifeassurance/DcVULHvFxlK.jpg]</t>
        </is>
      </c>
    </row>
    <row r="43">
      <c r="A43">
        <f>IF(B43="","",ROW()-1)</f>
        <v/>
      </c>
      <c r="B43" t="inlineStr">
        <is>
          <t>Adamjee Life Assurance</t>
        </is>
      </c>
      <c r="C43">
        <f>IFERROR(VLOOKUP(B43,Brands!$A:$B,2,FALSE),"")</f>
        <v/>
      </c>
      <c r="D43" t="inlineStr">
        <is>
          <t>meta</t>
        </is>
      </c>
      <c r="E43" t="inlineStr"/>
      <c r="F43" t="inlineStr">
        <is>
          <t>2026-08-27</t>
        </is>
      </c>
      <c r="G43" t="inlineStr">
        <is>
          <t>static</t>
        </is>
      </c>
      <c r="I43" t="inlineStr">
        <is>
          <t>mixed</t>
        </is>
      </c>
      <c r="J43" t="inlineStr">
        <is>
          <t>brand_corporate</t>
        </is>
      </c>
      <c r="K43" t="inlineStr">
        <is>
          <t>brand_corporate</t>
        </is>
      </c>
      <c r="L43" t="inlineStr">
        <is>
          <t>other</t>
        </is>
      </c>
      <c r="M43" t="inlineStr">
        <is>
          <t>pride</t>
        </is>
      </c>
      <c r="N43" t="inlineStr">
        <is>
          <t>ratings_awards</t>
        </is>
      </c>
      <c r="O43" t="inlineStr">
        <is>
          <t>none</t>
        </is>
      </c>
      <c r="P43" t="inlineStr">
        <is>
          <t>sme_corporate</t>
        </is>
      </c>
      <c r="Q43" t="inlineStr">
        <is>
          <t>no</t>
        </is>
      </c>
      <c r="R43" t="n">
        <v>1</v>
      </c>
      <c r="T43" t="inlineStr">
        <is>
          <t>https://www.instagram.com/adamjeelifeassurance/p/DcTWqQPDa_e/</t>
        </is>
      </c>
      <c r="U43" t="inlineStr">
        <is>
          <t>claude</t>
        </is>
      </c>
      <c r="V43" t="inlineStr">
        <is>
          <t>'Decade of Dedication', 10 Years of Excellence award. [img: media/adamjeelifeassurance/DcTWqQPDa_e.jpg]</t>
        </is>
      </c>
    </row>
    <row r="44">
      <c r="A44">
        <f>IF(B44="","",ROW()-1)</f>
        <v/>
      </c>
      <c r="B44" t="inlineStr">
        <is>
          <t>Adamjee Life Assurance</t>
        </is>
      </c>
      <c r="C44">
        <f>IFERROR(VLOOKUP(B44,Brands!$A:$B,2,FALSE),"")</f>
        <v/>
      </c>
      <c r="D44" t="inlineStr">
        <is>
          <t>meta</t>
        </is>
      </c>
      <c r="E44" t="inlineStr"/>
      <c r="F44" t="inlineStr">
        <is>
          <t>2026-08-27</t>
        </is>
      </c>
      <c r="G44" t="inlineStr">
        <is>
          <t>static</t>
        </is>
      </c>
      <c r="I44" t="inlineStr">
        <is>
          <t>mixed</t>
        </is>
      </c>
      <c r="J44" t="inlineStr">
        <is>
          <t>brand_corporate</t>
        </is>
      </c>
      <c r="K44" t="inlineStr">
        <is>
          <t>convenience_digital</t>
        </is>
      </c>
      <c r="L44" t="inlineStr">
        <is>
          <t>other</t>
        </is>
      </c>
      <c r="M44" t="inlineStr">
        <is>
          <t>reassurance</t>
        </is>
      </c>
      <c r="N44" t="inlineStr">
        <is>
          <t>none</t>
        </is>
      </c>
      <c r="O44" t="inlineStr">
        <is>
          <t>digital_direct</t>
        </is>
      </c>
      <c r="P44" t="inlineStr">
        <is>
          <t>mass</t>
        </is>
      </c>
      <c r="Q44" t="inlineStr">
        <is>
          <t>no</t>
        </is>
      </c>
      <c r="R44" t="n">
        <v>1</v>
      </c>
      <c r="T44" t="inlineStr">
        <is>
          <t>https://www.instagram.com/adamjeelifeassurance/p/DcQg_ZWDSdB/</t>
        </is>
      </c>
      <c r="U44" t="inlineStr">
        <is>
          <t>claude</t>
        </is>
      </c>
      <c r="V44" t="inlineStr">
        <is>
          <t>'Calculate coverage. Compare smarter.' Online calculator. [img: media/adamjeelifeassurance/DcQg_ZWDSdB.jpg]</t>
        </is>
      </c>
    </row>
    <row r="45">
      <c r="A45">
        <f>IF(B45="","",ROW()-1)</f>
        <v/>
      </c>
      <c r="B45" t="inlineStr">
        <is>
          <t>Adamjee Life Assurance</t>
        </is>
      </c>
      <c r="C45">
        <f>IFERROR(VLOOKUP(B45,Brands!$A:$B,2,FALSE),"")</f>
        <v/>
      </c>
      <c r="D45" t="inlineStr">
        <is>
          <t>meta</t>
        </is>
      </c>
      <c r="E45" t="inlineStr"/>
      <c r="F45" t="inlineStr">
        <is>
          <t>2026-08-27</t>
        </is>
      </c>
      <c r="G45" t="inlineStr">
        <is>
          <t>video</t>
        </is>
      </c>
      <c r="I45" t="inlineStr">
        <is>
          <t>mixed</t>
        </is>
      </c>
      <c r="J45" t="inlineStr">
        <is>
          <t>unclear</t>
        </is>
      </c>
      <c r="K45" t="inlineStr">
        <is>
          <t>other</t>
        </is>
      </c>
      <c r="L45" t="inlineStr">
        <is>
          <t>other</t>
        </is>
      </c>
      <c r="M45" t="inlineStr">
        <is>
          <t>reassurance</t>
        </is>
      </c>
      <c r="N45" t="inlineStr">
        <is>
          <t>none</t>
        </is>
      </c>
      <c r="O45" t="inlineStr">
        <is>
          <t>none</t>
        </is>
      </c>
      <c r="P45" t="inlineStr">
        <is>
          <t>mass</t>
        </is>
      </c>
      <c r="Q45" t="inlineStr">
        <is>
          <t>no</t>
        </is>
      </c>
      <c r="R45" t="n">
        <v>1</v>
      </c>
      <c r="T45" t="inlineStr">
        <is>
          <t>https://www.instagram.com/thehunarfoundation/reel/DcEXyLqIlf9/</t>
        </is>
      </c>
      <c r="U45" t="inlineStr">
        <is>
          <t>claude</t>
        </is>
      </c>
      <c r="V45" t="inlineStr">
        <is>
          <t>REPOST from @thehunarfoundation. NOT YET CODED - open the full-size file in media/ and code it. [img: media/adamjeelifeassurance/DcEXyLqIlf9.jpg]</t>
        </is>
      </c>
    </row>
    <row r="46">
      <c r="A46">
        <f>IF(B46="","",ROW()-1)</f>
        <v/>
      </c>
      <c r="B46" t="inlineStr">
        <is>
          <t>Adamjee Life Assurance</t>
        </is>
      </c>
      <c r="C46">
        <f>IFERROR(VLOOKUP(B46,Brands!$A:$B,2,FALSE),"")</f>
        <v/>
      </c>
      <c r="D46" t="inlineStr">
        <is>
          <t>meta</t>
        </is>
      </c>
      <c r="E46" t="inlineStr"/>
      <c r="F46" t="inlineStr">
        <is>
          <t>2026-08-27</t>
        </is>
      </c>
      <c r="G46" t="inlineStr">
        <is>
          <t>video</t>
        </is>
      </c>
      <c r="I46" t="inlineStr">
        <is>
          <t>mixed</t>
        </is>
      </c>
      <c r="J46" t="inlineStr">
        <is>
          <t>brand_corporate</t>
        </is>
      </c>
      <c r="K46" t="inlineStr">
        <is>
          <t>national_trust</t>
        </is>
      </c>
      <c r="L46" t="inlineStr">
        <is>
          <t>other</t>
        </is>
      </c>
      <c r="M46" t="inlineStr">
        <is>
          <t>pride</t>
        </is>
      </c>
      <c r="N46" t="inlineStr">
        <is>
          <t>none</t>
        </is>
      </c>
      <c r="O46" t="inlineStr">
        <is>
          <t>none</t>
        </is>
      </c>
      <c r="P46" t="inlineStr">
        <is>
          <t>mass</t>
        </is>
      </c>
      <c r="Q46" t="inlineStr">
        <is>
          <t>no</t>
        </is>
      </c>
      <c r="R46" t="n">
        <v>1</v>
      </c>
      <c r="T46" t="inlineStr">
        <is>
          <t>https://www.instagram.com/adamjeelifeassurance/reel/DcAxZVCjv1L/</t>
        </is>
      </c>
      <c r="U46" t="inlineStr">
        <is>
          <t>claude</t>
        </is>
      </c>
      <c r="V46" t="inlineStr">
        <is>
          <t>Independence Day office decor. [img: media/adamjeelifeassurance/DcAxZVCjv1L.jpg]</t>
        </is>
      </c>
    </row>
    <row r="47">
      <c r="A47">
        <f>IF(B47="","",ROW()-1)</f>
        <v/>
      </c>
      <c r="B47" t="inlineStr">
        <is>
          <t>Adamjee Life Assurance</t>
        </is>
      </c>
      <c r="C47">
        <f>IFERROR(VLOOKUP(B47,Brands!$A:$B,2,FALSE),"")</f>
        <v/>
      </c>
      <c r="D47" t="inlineStr">
        <is>
          <t>meta</t>
        </is>
      </c>
      <c r="E47" t="inlineStr"/>
      <c r="F47" t="inlineStr">
        <is>
          <t>2026-08-27</t>
        </is>
      </c>
      <c r="G47" t="inlineStr">
        <is>
          <t>static</t>
        </is>
      </c>
      <c r="I47" t="inlineStr">
        <is>
          <t>mixed</t>
        </is>
      </c>
      <c r="J47" t="inlineStr">
        <is>
          <t>brand_corporate</t>
        </is>
      </c>
      <c r="K47" t="inlineStr">
        <is>
          <t>national_trust</t>
        </is>
      </c>
      <c r="L47" t="inlineStr">
        <is>
          <t>other</t>
        </is>
      </c>
      <c r="M47" t="inlineStr">
        <is>
          <t>pride</t>
        </is>
      </c>
      <c r="N47" t="inlineStr">
        <is>
          <t>heritage_scale</t>
        </is>
      </c>
      <c r="O47" t="inlineStr">
        <is>
          <t>none</t>
        </is>
      </c>
      <c r="P47" t="inlineStr">
        <is>
          <t>mass</t>
        </is>
      </c>
      <c r="Q47" t="inlineStr">
        <is>
          <t>no</t>
        </is>
      </c>
      <c r="R47" t="n">
        <v>1</v>
      </c>
      <c r="T47" t="inlineStr">
        <is>
          <t>https://www.instagram.com/adamjeelifeassurance/p/DcAaAdSDE4I/</t>
        </is>
      </c>
      <c r="U47" t="inlineStr">
        <is>
          <t>claude</t>
        </is>
      </c>
      <c r="V47" t="inlineStr">
        <is>
          <t>70 years + 14 August cake-cutting. [img: media/adamjeelifeassurance/DcAaAdSDE4I.jpg]</t>
        </is>
      </c>
    </row>
    <row r="48">
      <c r="A48">
        <f>IF(B48="","",ROW()-1)</f>
        <v/>
      </c>
      <c r="B48" t="inlineStr">
        <is>
          <t>Adamjee Life Assurance</t>
        </is>
      </c>
      <c r="C48">
        <f>IFERROR(VLOOKUP(B48,Brands!$A:$B,2,FALSE),"")</f>
        <v/>
      </c>
      <c r="D48" t="inlineStr">
        <is>
          <t>meta</t>
        </is>
      </c>
      <c r="E48" t="inlineStr"/>
      <c r="F48" t="inlineStr">
        <is>
          <t>2026-08-27</t>
        </is>
      </c>
      <c r="G48" t="inlineStr">
        <is>
          <t>video</t>
        </is>
      </c>
      <c r="I48" t="inlineStr">
        <is>
          <t>mixed</t>
        </is>
      </c>
      <c r="J48" t="inlineStr">
        <is>
          <t>unclear</t>
        </is>
      </c>
      <c r="K48" t="inlineStr">
        <is>
          <t>other</t>
        </is>
      </c>
      <c r="L48" t="inlineStr">
        <is>
          <t>other</t>
        </is>
      </c>
      <c r="M48" t="inlineStr">
        <is>
          <t>reassurance</t>
        </is>
      </c>
      <c r="N48" t="inlineStr">
        <is>
          <t>none</t>
        </is>
      </c>
      <c r="O48" t="inlineStr">
        <is>
          <t>none</t>
        </is>
      </c>
      <c r="P48" t="inlineStr">
        <is>
          <t>mass</t>
        </is>
      </c>
      <c r="Q48" t="inlineStr">
        <is>
          <t>no</t>
        </is>
      </c>
      <c r="R48" t="n">
        <v>1</v>
      </c>
      <c r="T48" t="inlineStr">
        <is>
          <t>https://www.instagram.com/adamjeelifeassurance/reel/Db_kUlJjaX7/</t>
        </is>
      </c>
      <c r="U48" t="inlineStr">
        <is>
          <t>claude</t>
        </is>
      </c>
      <c r="V48" t="inlineStr">
        <is>
          <t>NOT YET CODED - open the full-size file in media/ and code it. [img: media/adamjeelifeassurance/Db_kUlJjaX7.jpg]</t>
        </is>
      </c>
    </row>
    <row r="49">
      <c r="A49">
        <f>IF(B49="","",ROW()-1)</f>
        <v/>
      </c>
      <c r="B49" t="inlineStr">
        <is>
          <t>Adamjee Life Assurance</t>
        </is>
      </c>
      <c r="C49">
        <f>IFERROR(VLOOKUP(B49,Brands!$A:$B,2,FALSE),"")</f>
        <v/>
      </c>
      <c r="D49" t="inlineStr">
        <is>
          <t>meta</t>
        </is>
      </c>
      <c r="E49" t="inlineStr"/>
      <c r="F49" t="inlineStr">
        <is>
          <t>2026-08-27</t>
        </is>
      </c>
      <c r="G49" t="inlineStr">
        <is>
          <t>video</t>
        </is>
      </c>
      <c r="I49" t="inlineStr">
        <is>
          <t>mixed</t>
        </is>
      </c>
      <c r="J49" t="inlineStr">
        <is>
          <t>brand_corporate</t>
        </is>
      </c>
      <c r="K49" t="inlineStr">
        <is>
          <t>national_trust</t>
        </is>
      </c>
      <c r="L49" t="inlineStr">
        <is>
          <t>other</t>
        </is>
      </c>
      <c r="M49" t="inlineStr">
        <is>
          <t>pride</t>
        </is>
      </c>
      <c r="N49" t="inlineStr">
        <is>
          <t>none</t>
        </is>
      </c>
      <c r="O49" t="inlineStr">
        <is>
          <t>none</t>
        </is>
      </c>
      <c r="P49" t="inlineStr">
        <is>
          <t>mass</t>
        </is>
      </c>
      <c r="Q49" t="inlineStr">
        <is>
          <t>no</t>
        </is>
      </c>
      <c r="R49" t="n">
        <v>1</v>
      </c>
      <c r="T49" t="inlineStr">
        <is>
          <t>https://www.instagram.com/adamjeelifeassurance/reel/Db_cNbHD-Xo/</t>
        </is>
      </c>
      <c r="U49" t="inlineStr">
        <is>
          <t>claude</t>
        </is>
      </c>
      <c r="V49" t="inlineStr">
        <is>
          <t>'The Home to Every Life' - map of Pakistan, heritage illustration. [img: media/adamjeelifeassurance/Db_cNbHD-Xo.jpg]</t>
        </is>
      </c>
    </row>
    <row r="50">
      <c r="A50">
        <f>IF(B50="","",ROW()-1)</f>
        <v/>
      </c>
      <c r="B50" t="inlineStr">
        <is>
          <t>IGI Life Insurance</t>
        </is>
      </c>
      <c r="C50">
        <f>IFERROR(VLOOKUP(B50,Brands!$A:$B,2,FALSE),"")</f>
        <v/>
      </c>
      <c r="D50" t="inlineStr">
        <is>
          <t>meta</t>
        </is>
      </c>
      <c r="E50" t="inlineStr"/>
      <c r="F50" t="inlineStr">
        <is>
          <t>2026-08-27</t>
        </is>
      </c>
      <c r="G50" t="inlineStr">
        <is>
          <t>video</t>
        </is>
      </c>
      <c r="I50" t="inlineStr">
        <is>
          <t>mixed</t>
        </is>
      </c>
      <c r="J50" t="inlineStr">
        <is>
          <t>individual_life</t>
        </is>
      </c>
      <c r="K50" t="inlineStr">
        <is>
          <t>other</t>
        </is>
      </c>
      <c r="L50" t="inlineStr">
        <is>
          <t>other</t>
        </is>
      </c>
      <c r="M50" t="inlineStr">
        <is>
          <t>fear</t>
        </is>
      </c>
      <c r="N50" t="inlineStr">
        <is>
          <t>none</t>
        </is>
      </c>
      <c r="O50" t="inlineStr">
        <is>
          <t>none</t>
        </is>
      </c>
      <c r="P50" t="inlineStr">
        <is>
          <t>women</t>
        </is>
      </c>
      <c r="Q50" t="inlineStr">
        <is>
          <t>no</t>
        </is>
      </c>
      <c r="R50" t="n">
        <v>1</v>
      </c>
      <c r="T50" t="inlineStr">
        <is>
          <t>https://www.instagram.com/igilifevitality/reel/DciNdoxjbDG/</t>
        </is>
      </c>
      <c r="U50" t="inlineStr">
        <is>
          <t>claude</t>
        </is>
      </c>
      <c r="V50" t="inlineStr">
        <is>
          <t>Woman stressed at desk. Part of the myth/objection series. [img: media/igilifevitality/DciNdoxjbDG.jpg]</t>
        </is>
      </c>
    </row>
    <row r="51">
      <c r="A51">
        <f>IF(B51="","",ROW()-1)</f>
        <v/>
      </c>
      <c r="B51" t="inlineStr">
        <is>
          <t>IGI Life Insurance</t>
        </is>
      </c>
      <c r="C51">
        <f>IFERROR(VLOOKUP(B51,Brands!$A:$B,2,FALSE),"")</f>
        <v/>
      </c>
      <c r="D51" t="inlineStr">
        <is>
          <t>meta</t>
        </is>
      </c>
      <c r="E51" t="inlineStr"/>
      <c r="F51" t="inlineStr">
        <is>
          <t>2026-08-27</t>
        </is>
      </c>
      <c r="G51" t="inlineStr">
        <is>
          <t>static</t>
        </is>
      </c>
      <c r="I51" t="inlineStr">
        <is>
          <t>mixed</t>
        </is>
      </c>
      <c r="J51" t="inlineStr">
        <is>
          <t>brand_corporate</t>
        </is>
      </c>
      <c r="K51" t="inlineStr">
        <is>
          <t>brand_corporate</t>
        </is>
      </c>
      <c r="L51" t="inlineStr">
        <is>
          <t>other</t>
        </is>
      </c>
      <c r="M51" t="inlineStr">
        <is>
          <t>duty</t>
        </is>
      </c>
      <c r="N51" t="inlineStr">
        <is>
          <t>none</t>
        </is>
      </c>
      <c r="O51" t="inlineStr">
        <is>
          <t>none</t>
        </is>
      </c>
      <c r="P51" t="inlineStr">
        <is>
          <t>mass</t>
        </is>
      </c>
      <c r="Q51" t="inlineStr">
        <is>
          <t>no</t>
        </is>
      </c>
      <c r="R51" t="n">
        <v>1</v>
      </c>
      <c r="T51" t="inlineStr">
        <is>
          <t>https://www.instagram.com/igigeneralinsurance/p/Dcdab3GFWHn/</t>
        </is>
      </c>
      <c r="U51" t="inlineStr">
        <is>
          <t>claude</t>
        </is>
      </c>
      <c r="V51" t="inlineStr">
        <is>
          <t>REPOST from @igigeneralinsurance. Hepatitis screening camp with Transparent Hands. CSR. [img: media/igilifevitality/Dcdab3GFWHn.jpg]</t>
        </is>
      </c>
    </row>
    <row r="52">
      <c r="A52">
        <f>IF(B52="","",ROW()-1)</f>
        <v/>
      </c>
      <c r="B52" t="inlineStr">
        <is>
          <t>IGI Life Insurance</t>
        </is>
      </c>
      <c r="C52">
        <f>IFERROR(VLOOKUP(B52,Brands!$A:$B,2,FALSE),"")</f>
        <v/>
      </c>
      <c r="D52" t="inlineStr">
        <is>
          <t>meta</t>
        </is>
      </c>
      <c r="E52" t="inlineStr"/>
      <c r="F52" t="inlineStr">
        <is>
          <t>2026-08-27</t>
        </is>
      </c>
      <c r="G52" t="inlineStr">
        <is>
          <t>static</t>
        </is>
      </c>
      <c r="I52" t="inlineStr">
        <is>
          <t>mixed</t>
        </is>
      </c>
      <c r="J52" t="inlineStr">
        <is>
          <t>individual_life</t>
        </is>
      </c>
      <c r="K52" t="inlineStr">
        <is>
          <t>protection</t>
        </is>
      </c>
      <c r="L52" t="inlineStr">
        <is>
          <t>other</t>
        </is>
      </c>
      <c r="M52" t="inlineStr">
        <is>
          <t>reassurance</t>
        </is>
      </c>
      <c r="N52" t="inlineStr">
        <is>
          <t>none</t>
        </is>
      </c>
      <c r="O52" t="inlineStr">
        <is>
          <t>none</t>
        </is>
      </c>
      <c r="P52" t="inlineStr">
        <is>
          <t>mass</t>
        </is>
      </c>
      <c r="Q52" t="inlineStr">
        <is>
          <t>no</t>
        </is>
      </c>
      <c r="R52" t="n">
        <v>1</v>
      </c>
      <c r="T52" t="inlineStr">
        <is>
          <t>https://www.instagram.com/igilifevitality/p/DcasP2TjOGX/</t>
        </is>
      </c>
      <c r="U52" t="inlineStr">
        <is>
          <t>claude</t>
        </is>
      </c>
      <c r="V52" t="inlineStr">
        <is>
          <t>'WHO ARE YOU PROTECTING TODAY? Because every stage of life brings something worth protecting.' [img: media/igilifevitality/DcasP2TjOGX.jpg]</t>
        </is>
      </c>
    </row>
    <row r="53">
      <c r="A53">
        <f>IF(B53="","",ROW()-1)</f>
        <v/>
      </c>
      <c r="B53" t="inlineStr">
        <is>
          <t>IGI Life Insurance</t>
        </is>
      </c>
      <c r="C53">
        <f>IFERROR(VLOOKUP(B53,Brands!$A:$B,2,FALSE),"")</f>
        <v/>
      </c>
      <c r="D53" t="inlineStr">
        <is>
          <t>meta</t>
        </is>
      </c>
      <c r="E53" t="inlineStr"/>
      <c r="F53" t="inlineStr">
        <is>
          <t>2026-08-27</t>
        </is>
      </c>
      <c r="G53" t="inlineStr">
        <is>
          <t>video</t>
        </is>
      </c>
      <c r="I53" t="inlineStr">
        <is>
          <t>mixed</t>
        </is>
      </c>
      <c r="J53" t="inlineStr">
        <is>
          <t>brand_corporate</t>
        </is>
      </c>
      <c r="K53" t="inlineStr">
        <is>
          <t>brand_corporate</t>
        </is>
      </c>
      <c r="L53" t="inlineStr">
        <is>
          <t>other</t>
        </is>
      </c>
      <c r="M53" t="inlineStr">
        <is>
          <t>aspiration</t>
        </is>
      </c>
      <c r="N53" t="inlineStr">
        <is>
          <t>none</t>
        </is>
      </c>
      <c r="O53" t="inlineStr">
        <is>
          <t>none</t>
        </is>
      </c>
      <c r="P53" t="inlineStr">
        <is>
          <t>youth</t>
        </is>
      </c>
      <c r="Q53" t="inlineStr">
        <is>
          <t>no</t>
        </is>
      </c>
      <c r="R53" t="n">
        <v>1</v>
      </c>
      <c r="T53" t="inlineStr">
        <is>
          <t>https://www.instagram.com/igigeneralinsurance/reel/DcN-s7Moy5R/</t>
        </is>
      </c>
      <c r="U53" t="inlineStr">
        <is>
          <t>claude</t>
        </is>
      </c>
      <c r="V53" t="inlineStr">
        <is>
          <t>REPOST from @igigeneralinsurance. 'Who's Most Likely To?' staff social content. [img: media/igilifevitality/DcN-s7Moy5R.jpg]</t>
        </is>
      </c>
    </row>
    <row r="54">
      <c r="A54">
        <f>IF(B54="","",ROW()-1)</f>
        <v/>
      </c>
      <c r="B54" t="inlineStr">
        <is>
          <t>IGI Life Insurance</t>
        </is>
      </c>
      <c r="C54">
        <f>IFERROR(VLOOKUP(B54,Brands!$A:$B,2,FALSE),"")</f>
        <v/>
      </c>
      <c r="D54" t="inlineStr">
        <is>
          <t>meta</t>
        </is>
      </c>
      <c r="E54" t="inlineStr"/>
      <c r="F54" t="inlineStr">
        <is>
          <t>2026-08-27</t>
        </is>
      </c>
      <c r="G54" t="inlineStr">
        <is>
          <t>video</t>
        </is>
      </c>
      <c r="I54" t="inlineStr">
        <is>
          <t>mixed</t>
        </is>
      </c>
      <c r="J54" t="inlineStr">
        <is>
          <t>health</t>
        </is>
      </c>
      <c r="K54" t="inlineStr">
        <is>
          <t>other</t>
        </is>
      </c>
      <c r="L54" t="inlineStr">
        <is>
          <t>other</t>
        </is>
      </c>
      <c r="M54" t="inlineStr">
        <is>
          <t>reassurance</t>
        </is>
      </c>
      <c r="N54" t="inlineStr">
        <is>
          <t>none</t>
        </is>
      </c>
      <c r="O54" t="inlineStr">
        <is>
          <t>none</t>
        </is>
      </c>
      <c r="P54" t="inlineStr">
        <is>
          <t>women</t>
        </is>
      </c>
      <c r="Q54" t="inlineStr">
        <is>
          <t>no</t>
        </is>
      </c>
      <c r="R54" t="n">
        <v>1</v>
      </c>
      <c r="T54" t="inlineStr">
        <is>
          <t>https://www.instagram.com/igilifevitality/reel/DcN0QDWCNxB/</t>
        </is>
      </c>
      <c r="U54" t="inlineStr">
        <is>
          <t>claude</t>
        </is>
      </c>
      <c r="V54" t="inlineStr">
        <is>
          <t>Vitality: screen time / wellbeing. [img: media/igilifevitality/DcN0QDWCNxB.jpg]</t>
        </is>
      </c>
    </row>
    <row r="55">
      <c r="A55">
        <f>IF(B55="","",ROW()-1)</f>
        <v/>
      </c>
      <c r="B55" t="inlineStr">
        <is>
          <t>IGI Life Insurance</t>
        </is>
      </c>
      <c r="C55">
        <f>IFERROR(VLOOKUP(B55,Brands!$A:$B,2,FALSE),"")</f>
        <v/>
      </c>
      <c r="D55" t="inlineStr">
        <is>
          <t>meta</t>
        </is>
      </c>
      <c r="E55" t="inlineStr"/>
      <c r="F55" t="inlineStr">
        <is>
          <t>2026-08-27</t>
        </is>
      </c>
      <c r="G55" t="inlineStr">
        <is>
          <t>static</t>
        </is>
      </c>
      <c r="I55" t="inlineStr">
        <is>
          <t>mixed</t>
        </is>
      </c>
      <c r="J55" t="inlineStr">
        <is>
          <t>child_education</t>
        </is>
      </c>
      <c r="K55" t="inlineStr">
        <is>
          <t>education_marriage</t>
        </is>
      </c>
      <c r="L55" t="inlineStr">
        <is>
          <t>other</t>
        </is>
      </c>
      <c r="M55" t="inlineStr">
        <is>
          <t>reassurance</t>
        </is>
      </c>
      <c r="N55" t="inlineStr">
        <is>
          <t>none</t>
        </is>
      </c>
      <c r="O55" t="inlineStr">
        <is>
          <t>none</t>
        </is>
      </c>
      <c r="P55" t="inlineStr">
        <is>
          <t>mass</t>
        </is>
      </c>
      <c r="Q55" t="inlineStr">
        <is>
          <t>yes</t>
        </is>
      </c>
      <c r="R55" t="n">
        <v>1</v>
      </c>
      <c r="T55" t="inlineStr">
        <is>
          <t>https://www.instagram.com/igilifevitality/p/DcLPa5CD6T0/</t>
        </is>
      </c>
      <c r="U55" t="inlineStr">
        <is>
          <t>claude</t>
        </is>
      </c>
      <c r="V55" t="inlineStr">
        <is>
          <t>MYTH SERIES: 'My child's education is still years away. There's no need to plan for it yet.' [img: media/igilifevitality/DcLPa5CD6T0.jpg]</t>
        </is>
      </c>
    </row>
    <row r="56">
      <c r="A56">
        <f>IF(B56="","",ROW()-1)</f>
        <v/>
      </c>
      <c r="B56" t="inlineStr">
        <is>
          <t>IGI Life Insurance</t>
        </is>
      </c>
      <c r="C56">
        <f>IFERROR(VLOOKUP(B56,Brands!$A:$B,2,FALSE),"")</f>
        <v/>
      </c>
      <c r="D56" t="inlineStr">
        <is>
          <t>meta</t>
        </is>
      </c>
      <c r="E56" t="inlineStr"/>
      <c r="F56" t="inlineStr">
        <is>
          <t>2026-08-27</t>
        </is>
      </c>
      <c r="G56" t="inlineStr">
        <is>
          <t>video</t>
        </is>
      </c>
      <c r="I56" t="inlineStr">
        <is>
          <t>mixed</t>
        </is>
      </c>
      <c r="J56" t="inlineStr">
        <is>
          <t>brand_corporate</t>
        </is>
      </c>
      <c r="K56" t="inlineStr">
        <is>
          <t>national_trust</t>
        </is>
      </c>
      <c r="L56" t="inlineStr">
        <is>
          <t>other</t>
        </is>
      </c>
      <c r="M56" t="inlineStr">
        <is>
          <t>pride</t>
        </is>
      </c>
      <c r="N56" t="inlineStr">
        <is>
          <t>none</t>
        </is>
      </c>
      <c r="O56" t="inlineStr">
        <is>
          <t>none</t>
        </is>
      </c>
      <c r="P56" t="inlineStr">
        <is>
          <t>mass</t>
        </is>
      </c>
      <c r="Q56" t="inlineStr">
        <is>
          <t>no</t>
        </is>
      </c>
      <c r="R56" t="n">
        <v>1</v>
      </c>
      <c r="T56" t="inlineStr">
        <is>
          <t>https://www.instagram.com/igigeneralinsurance/reel/DcBMHQKo-v6/</t>
        </is>
      </c>
      <c r="U56" t="inlineStr">
        <is>
          <t>claude</t>
        </is>
      </c>
      <c r="V56" t="inlineStr">
        <is>
          <t>REPOST from @igigeneralinsurance. 'Meri Pehchaan Pakistan' group photo. [img: media/igilifevitality/DcBMHQKo-v6.jpg]</t>
        </is>
      </c>
    </row>
    <row r="57">
      <c r="A57">
        <f>IF(B57="","",ROW()-1)</f>
        <v/>
      </c>
      <c r="B57" t="inlineStr">
        <is>
          <t>IGI Life Insurance</t>
        </is>
      </c>
      <c r="C57">
        <f>IFERROR(VLOOKUP(B57,Brands!$A:$B,2,FALSE),"")</f>
        <v/>
      </c>
      <c r="D57" t="inlineStr">
        <is>
          <t>meta</t>
        </is>
      </c>
      <c r="E57" t="inlineStr"/>
      <c r="F57" t="inlineStr">
        <is>
          <t>2026-08-27</t>
        </is>
      </c>
      <c r="G57" t="inlineStr">
        <is>
          <t>static</t>
        </is>
      </c>
      <c r="I57" t="inlineStr">
        <is>
          <t>mixed</t>
        </is>
      </c>
      <c r="J57" t="inlineStr">
        <is>
          <t>brand_corporate</t>
        </is>
      </c>
      <c r="K57" t="inlineStr">
        <is>
          <t>national_trust</t>
        </is>
      </c>
      <c r="L57" t="inlineStr">
        <is>
          <t>other</t>
        </is>
      </c>
      <c r="M57" t="inlineStr">
        <is>
          <t>pride</t>
        </is>
      </c>
      <c r="N57" t="inlineStr">
        <is>
          <t>none</t>
        </is>
      </c>
      <c r="O57" t="inlineStr">
        <is>
          <t>none</t>
        </is>
      </c>
      <c r="P57" t="inlineStr">
        <is>
          <t>mass</t>
        </is>
      </c>
      <c r="Q57" t="inlineStr">
        <is>
          <t>no</t>
        </is>
      </c>
      <c r="R57" t="n">
        <v>1</v>
      </c>
      <c r="T57" t="inlineStr">
        <is>
          <t>https://www.instagram.com/igilifevitality/p/DcATDr3j3PY/</t>
        </is>
      </c>
      <c r="U57" t="inlineStr">
        <is>
          <t>claude</t>
        </is>
      </c>
      <c r="V57" t="inlineStr">
        <is>
          <t>14 August Independence Day. [img: media/igilifevitality/DcATDr3j3PY.jpg]</t>
        </is>
      </c>
    </row>
    <row r="58">
      <c r="A58">
        <f>IF(B58="","",ROW()-1)</f>
        <v/>
      </c>
      <c r="B58" t="inlineStr">
        <is>
          <t>IGI Life Insurance</t>
        </is>
      </c>
      <c r="C58">
        <f>IFERROR(VLOOKUP(B58,Brands!$A:$B,2,FALSE),"")</f>
        <v/>
      </c>
      <c r="D58" t="inlineStr">
        <is>
          <t>meta</t>
        </is>
      </c>
      <c r="E58" t="inlineStr"/>
      <c r="F58" t="inlineStr">
        <is>
          <t>2026-08-27</t>
        </is>
      </c>
      <c r="G58" t="inlineStr">
        <is>
          <t>video</t>
        </is>
      </c>
      <c r="I58" t="inlineStr">
        <is>
          <t>mixed</t>
        </is>
      </c>
      <c r="J58" t="inlineStr">
        <is>
          <t>health</t>
        </is>
      </c>
      <c r="K58" t="inlineStr">
        <is>
          <t>other</t>
        </is>
      </c>
      <c r="L58" t="inlineStr">
        <is>
          <t>other</t>
        </is>
      </c>
      <c r="M58" t="inlineStr">
        <is>
          <t>aspiration</t>
        </is>
      </c>
      <c r="N58" t="inlineStr">
        <is>
          <t>none</t>
        </is>
      </c>
      <c r="O58" t="inlineStr">
        <is>
          <t>none</t>
        </is>
      </c>
      <c r="P58" t="inlineStr">
        <is>
          <t>affluent</t>
        </is>
      </c>
      <c r="Q58" t="inlineStr">
        <is>
          <t>no</t>
        </is>
      </c>
      <c r="R58" t="n">
        <v>1</v>
      </c>
      <c r="T58" t="inlineStr">
        <is>
          <t>https://www.instagram.com/igilifevitality/reel/Db-Jv0bDaPD/</t>
        </is>
      </c>
      <c r="U58" t="inlineStr">
        <is>
          <t>claude</t>
        </is>
      </c>
      <c r="V58" t="inlineStr">
        <is>
          <t>Vitality: healthy meal, lifestyle imagery. [img: media/igilifevitality/Db-Jv0bDaPD.jpg]</t>
        </is>
      </c>
    </row>
    <row r="59">
      <c r="A59">
        <f>IF(B59="","",ROW()-1)</f>
        <v/>
      </c>
      <c r="B59" t="inlineStr">
        <is>
          <t>IGI Life Insurance</t>
        </is>
      </c>
      <c r="C59">
        <f>IFERROR(VLOOKUP(B59,Brands!$A:$B,2,FALSE),"")</f>
        <v/>
      </c>
      <c r="D59" t="inlineStr">
        <is>
          <t>meta</t>
        </is>
      </c>
      <c r="E59" t="inlineStr"/>
      <c r="F59" t="inlineStr">
        <is>
          <t>2026-08-27</t>
        </is>
      </c>
      <c r="G59" t="inlineStr">
        <is>
          <t>static</t>
        </is>
      </c>
      <c r="I59" t="inlineStr">
        <is>
          <t>mixed</t>
        </is>
      </c>
      <c r="J59" t="inlineStr">
        <is>
          <t>individual_life</t>
        </is>
      </c>
      <c r="K59" t="inlineStr">
        <is>
          <t>protection</t>
        </is>
      </c>
      <c r="L59" t="inlineStr">
        <is>
          <t>other</t>
        </is>
      </c>
      <c r="M59" t="inlineStr">
        <is>
          <t>reassurance</t>
        </is>
      </c>
      <c r="N59" t="inlineStr">
        <is>
          <t>none</t>
        </is>
      </c>
      <c r="O59" t="inlineStr">
        <is>
          <t>none</t>
        </is>
      </c>
      <c r="P59" t="inlineStr">
        <is>
          <t>youth</t>
        </is>
      </c>
      <c r="Q59" t="inlineStr">
        <is>
          <t>yes</t>
        </is>
      </c>
      <c r="R59" t="n">
        <v>1</v>
      </c>
      <c r="T59" t="inlineStr">
        <is>
          <t>https://www.instagram.com/igilifevitality/p/Db7rzY9AVzh/</t>
        </is>
      </c>
      <c r="U59" t="inlineStr">
        <is>
          <t>claude</t>
        </is>
      </c>
      <c r="V59" t="inlineStr">
        <is>
          <t>MYTH SERIES: 'I only need life insurance when I have a family.' Direct objection handling. [img: media/igilifevitality/Db7rzY9AVzh.jpg]</t>
        </is>
      </c>
    </row>
    <row r="60">
      <c r="A60">
        <f>IF(B60="","",ROW()-1)</f>
        <v/>
      </c>
      <c r="B60" t="inlineStr">
        <is>
          <t>IGI Life Insurance</t>
        </is>
      </c>
      <c r="C60">
        <f>IFERROR(VLOOKUP(B60,Brands!$A:$B,2,FALSE),"")</f>
        <v/>
      </c>
      <c r="D60" t="inlineStr">
        <is>
          <t>meta</t>
        </is>
      </c>
      <c r="E60" t="inlineStr"/>
      <c r="F60" t="inlineStr">
        <is>
          <t>2026-08-27</t>
        </is>
      </c>
      <c r="G60" t="inlineStr">
        <is>
          <t>static</t>
        </is>
      </c>
      <c r="I60" t="inlineStr">
        <is>
          <t>mixed</t>
        </is>
      </c>
      <c r="J60" t="inlineStr">
        <is>
          <t>health</t>
        </is>
      </c>
      <c r="K60" t="inlineStr">
        <is>
          <t>price_affordability</t>
        </is>
      </c>
      <c r="L60" t="inlineStr">
        <is>
          <t>convenience_digital</t>
        </is>
      </c>
      <c r="M60" t="inlineStr">
        <is>
          <t>aspiration</t>
        </is>
      </c>
      <c r="N60" t="inlineStr">
        <is>
          <t>none</t>
        </is>
      </c>
      <c r="O60" t="inlineStr">
        <is>
          <t>digital_direct</t>
        </is>
      </c>
      <c r="P60" t="inlineStr">
        <is>
          <t>youth</t>
        </is>
      </c>
      <c r="Q60" t="inlineStr">
        <is>
          <t>no</t>
        </is>
      </c>
      <c r="R60" t="n">
        <v>1</v>
      </c>
      <c r="T60" t="inlineStr">
        <is>
          <t>https://www.instagram.com/igilifevitality/p/Db2v7eQDbqi/</t>
        </is>
      </c>
      <c r="U60" t="inlineStr">
        <is>
          <t>claude</t>
        </is>
      </c>
      <c r="V60" t="inlineStr">
        <is>
          <t>Vitality x foodpanda, PKR 500 weekly reward. [img: media/igilifevitality/Db2v7eQDbqi.jpg]</t>
        </is>
      </c>
    </row>
    <row r="61">
      <c r="A61">
        <f>IF(B61="","",ROW()-1)</f>
        <v/>
      </c>
      <c r="B61" t="inlineStr">
        <is>
          <t>IGI Life Insurance</t>
        </is>
      </c>
      <c r="C61">
        <f>IFERROR(VLOOKUP(B61,Brands!$A:$B,2,FALSE),"")</f>
        <v/>
      </c>
      <c r="D61" t="inlineStr">
        <is>
          <t>meta</t>
        </is>
      </c>
      <c r="E61" t="inlineStr"/>
      <c r="F61" t="inlineStr">
        <is>
          <t>2026-08-27</t>
        </is>
      </c>
      <c r="G61" t="inlineStr">
        <is>
          <t>video</t>
        </is>
      </c>
      <c r="I61" t="inlineStr">
        <is>
          <t>mixed</t>
        </is>
      </c>
      <c r="J61" t="inlineStr">
        <is>
          <t>individual_life</t>
        </is>
      </c>
      <c r="K61" t="inlineStr">
        <is>
          <t>protection</t>
        </is>
      </c>
      <c r="L61" t="inlineStr">
        <is>
          <t>other</t>
        </is>
      </c>
      <c r="M61" t="inlineStr">
        <is>
          <t>reassurance</t>
        </is>
      </c>
      <c r="N61" t="inlineStr">
        <is>
          <t>none</t>
        </is>
      </c>
      <c r="O61" t="inlineStr">
        <is>
          <t>none</t>
        </is>
      </c>
      <c r="P61" t="inlineStr">
        <is>
          <t>mass</t>
        </is>
      </c>
      <c r="Q61" t="inlineStr">
        <is>
          <t>yes</t>
        </is>
      </c>
      <c r="R61" t="n">
        <v>1</v>
      </c>
      <c r="T61" t="inlineStr">
        <is>
          <t>https://www.instagram.com/igilifevitality/reel/DbvBkKNihue/</t>
        </is>
      </c>
      <c r="U61" t="inlineStr">
        <is>
          <t>claude</t>
        </is>
      </c>
      <c r="V61" t="inlineStr">
        <is>
          <t>'LIFE INSURANCE MYTH' series title card. [img: media/igilifevitality/DbvBkKNihue.jpg]</t>
        </is>
      </c>
    </row>
    <row r="62">
      <c r="A62">
        <f>IF(B62="","",ROW()-1)</f>
        <v/>
      </c>
      <c r="B62" t="inlineStr">
        <is>
          <t>Askari Life Assurance</t>
        </is>
      </c>
      <c r="C62">
        <f>IFERROR(VLOOKUP(B62,Brands!$A:$B,2,FALSE),"")</f>
        <v/>
      </c>
      <c r="D62" t="inlineStr">
        <is>
          <t>meta</t>
        </is>
      </c>
      <c r="E62" t="inlineStr"/>
      <c r="F62" t="inlineStr">
        <is>
          <t>2026-08-27</t>
        </is>
      </c>
      <c r="G62" t="inlineStr">
        <is>
          <t>static</t>
        </is>
      </c>
      <c r="I62" t="inlineStr">
        <is>
          <t>mixed</t>
        </is>
      </c>
      <c r="J62" t="inlineStr">
        <is>
          <t>brand_corporate</t>
        </is>
      </c>
      <c r="K62" t="inlineStr">
        <is>
          <t>brand_corporate</t>
        </is>
      </c>
      <c r="L62" t="inlineStr">
        <is>
          <t>other</t>
        </is>
      </c>
      <c r="M62" t="inlineStr">
        <is>
          <t>aspiration</t>
        </is>
      </c>
      <c r="N62" t="inlineStr">
        <is>
          <t>none</t>
        </is>
      </c>
      <c r="O62" t="inlineStr">
        <is>
          <t>call_centre</t>
        </is>
      </c>
      <c r="P62" t="inlineStr">
        <is>
          <t>mass</t>
        </is>
      </c>
      <c r="Q62" t="inlineStr">
        <is>
          <t>no</t>
        </is>
      </c>
      <c r="R62" t="n">
        <v>1</v>
      </c>
      <c r="T62" t="inlineStr">
        <is>
          <t>https://www.instagram.com/askari_life/p/DKymkdrNBgN/</t>
        </is>
      </c>
      <c r="U62" t="inlineStr">
        <is>
          <t>claude</t>
        </is>
      </c>
      <c r="V62" t="inlineStr">
        <is>
          <t>'IRAADA KARO - Jeeto ka, har ghari'. Platform end-frame. [img: media/askari_life/DKymkdrNBgN.jpg]</t>
        </is>
      </c>
    </row>
    <row r="63">
      <c r="A63">
        <f>IF(B63="","",ROW()-1)</f>
        <v/>
      </c>
      <c r="B63" t="inlineStr">
        <is>
          <t>Askari Life Assurance</t>
        </is>
      </c>
      <c r="C63">
        <f>IFERROR(VLOOKUP(B63,Brands!$A:$B,2,FALSE),"")</f>
        <v/>
      </c>
      <c r="D63" t="inlineStr">
        <is>
          <t>meta</t>
        </is>
      </c>
      <c r="E63" t="inlineStr"/>
      <c r="F63" t="inlineStr">
        <is>
          <t>2026-08-27</t>
        </is>
      </c>
      <c r="G63" t="inlineStr">
        <is>
          <t>static</t>
        </is>
      </c>
      <c r="I63" t="inlineStr">
        <is>
          <t>mixed</t>
        </is>
      </c>
      <c r="J63" t="inlineStr">
        <is>
          <t>individual_life</t>
        </is>
      </c>
      <c r="K63" t="inlineStr">
        <is>
          <t>other</t>
        </is>
      </c>
      <c r="L63" t="inlineStr">
        <is>
          <t>other</t>
        </is>
      </c>
      <c r="M63" t="inlineStr">
        <is>
          <t>aspiration</t>
        </is>
      </c>
      <c r="N63" t="inlineStr">
        <is>
          <t>none</t>
        </is>
      </c>
      <c r="O63" t="inlineStr">
        <is>
          <t>call_centre</t>
        </is>
      </c>
      <c r="P63" t="inlineStr">
        <is>
          <t>youth</t>
        </is>
      </c>
      <c r="Q63" t="inlineStr">
        <is>
          <t>no</t>
        </is>
      </c>
      <c r="R63" t="n">
        <v>1</v>
      </c>
      <c r="T63" t="inlineStr">
        <is>
          <t>https://www.instagram.com/askari_life/p/DKymitONopz/</t>
        </is>
      </c>
      <c r="U63" t="inlineStr">
        <is>
          <t>claude</t>
        </is>
      </c>
      <c r="V63" t="inlineStr">
        <is>
          <t>'YOUR FUTURE is calling' - phone call UI. [img: media/askari_life/DKymitONopz.jpg]</t>
        </is>
      </c>
    </row>
    <row r="64">
      <c r="A64">
        <f>IF(B64="","",ROW()-1)</f>
        <v/>
      </c>
      <c r="B64" t="inlineStr">
        <is>
          <t>Askari Life Assurance</t>
        </is>
      </c>
      <c r="C64">
        <f>IFERROR(VLOOKUP(B64,Brands!$A:$B,2,FALSE),"")</f>
        <v/>
      </c>
      <c r="D64" t="inlineStr">
        <is>
          <t>meta</t>
        </is>
      </c>
      <c r="E64" t="inlineStr"/>
      <c r="F64" t="inlineStr">
        <is>
          <t>2026-08-27</t>
        </is>
      </c>
      <c r="G64" t="inlineStr">
        <is>
          <t>static</t>
        </is>
      </c>
      <c r="I64" t="inlineStr">
        <is>
          <t>mixed</t>
        </is>
      </c>
      <c r="J64" t="inlineStr">
        <is>
          <t>individual_life</t>
        </is>
      </c>
      <c r="K64" t="inlineStr">
        <is>
          <t>other</t>
        </is>
      </c>
      <c r="L64" t="inlineStr">
        <is>
          <t>other</t>
        </is>
      </c>
      <c r="M64" t="inlineStr">
        <is>
          <t>aspiration</t>
        </is>
      </c>
      <c r="N64" t="inlineStr">
        <is>
          <t>none</t>
        </is>
      </c>
      <c r="O64" t="inlineStr">
        <is>
          <t>call_centre</t>
        </is>
      </c>
      <c r="P64" t="inlineStr">
        <is>
          <t>mass</t>
        </is>
      </c>
      <c r="Q64" t="inlineStr">
        <is>
          <t>no</t>
        </is>
      </c>
      <c r="R64" t="n">
        <v>1</v>
      </c>
      <c r="T64" t="inlineStr">
        <is>
          <t>https://www.instagram.com/askari_life/p/DKymg91NZ_o/</t>
        </is>
      </c>
      <c r="U64" t="inlineStr">
        <is>
          <t>claude</t>
        </is>
      </c>
      <c r="V64" t="inlineStr">
        <is>
          <t>Hand/phone creative, message not readable at thumbnail size. [img: media/askari_life/DKymg91NZ_o.jpg]</t>
        </is>
      </c>
    </row>
    <row r="65">
      <c r="A65">
        <f>IF(B65="","",ROW()-1)</f>
        <v/>
      </c>
      <c r="B65" t="inlineStr">
        <is>
          <t>Askari Life Assurance</t>
        </is>
      </c>
      <c r="C65">
        <f>IFERROR(VLOOKUP(B65,Brands!$A:$B,2,FALSE),"")</f>
        <v/>
      </c>
      <c r="D65" t="inlineStr">
        <is>
          <t>meta</t>
        </is>
      </c>
      <c r="E65" t="inlineStr"/>
      <c r="F65" t="inlineStr">
        <is>
          <t>2026-08-27</t>
        </is>
      </c>
      <c r="G65" t="inlineStr">
        <is>
          <t>static</t>
        </is>
      </c>
      <c r="I65" t="inlineStr">
        <is>
          <t>mixed</t>
        </is>
      </c>
      <c r="J65" t="inlineStr">
        <is>
          <t>unclear</t>
        </is>
      </c>
      <c r="K65" t="inlineStr">
        <is>
          <t>other</t>
        </is>
      </c>
      <c r="L65" t="inlineStr">
        <is>
          <t>other</t>
        </is>
      </c>
      <c r="M65" t="inlineStr">
        <is>
          <t>reassurance</t>
        </is>
      </c>
      <c r="N65" t="inlineStr">
        <is>
          <t>none</t>
        </is>
      </c>
      <c r="O65" t="inlineStr">
        <is>
          <t>none</t>
        </is>
      </c>
      <c r="P65" t="inlineStr">
        <is>
          <t>mass</t>
        </is>
      </c>
      <c r="Q65" t="inlineStr">
        <is>
          <t>no</t>
        </is>
      </c>
      <c r="R65" t="n">
        <v>1</v>
      </c>
      <c r="T65" t="inlineStr">
        <is>
          <t>https://www.instagram.com/askari_life/p/DcdED9xHHlD/</t>
        </is>
      </c>
      <c r="U65" t="inlineStr">
        <is>
          <t>claude</t>
        </is>
      </c>
      <c r="V65" t="inlineStr">
        <is>
          <t>NOT YET CODED - open the full-size file in media/ and code it. [img: media/askari_life/DcdED9xHHlD.jpg]</t>
        </is>
      </c>
    </row>
    <row r="66">
      <c r="A66">
        <f>IF(B66="","",ROW()-1)</f>
        <v/>
      </c>
      <c r="B66" t="inlineStr">
        <is>
          <t>Askari Life Assurance</t>
        </is>
      </c>
      <c r="C66">
        <f>IFERROR(VLOOKUP(B66,Brands!$A:$B,2,FALSE),"")</f>
        <v/>
      </c>
      <c r="D66" t="inlineStr">
        <is>
          <t>meta</t>
        </is>
      </c>
      <c r="E66" t="inlineStr"/>
      <c r="F66" t="inlineStr">
        <is>
          <t>2026-08-27</t>
        </is>
      </c>
      <c r="G66" t="inlineStr">
        <is>
          <t>video</t>
        </is>
      </c>
      <c r="I66" t="inlineStr">
        <is>
          <t>mixed</t>
        </is>
      </c>
      <c r="J66" t="inlineStr">
        <is>
          <t>individual_life</t>
        </is>
      </c>
      <c r="K66" t="inlineStr">
        <is>
          <t>protection</t>
        </is>
      </c>
      <c r="L66" t="inlineStr">
        <is>
          <t>savings_return</t>
        </is>
      </c>
      <c r="M66" t="inlineStr">
        <is>
          <t>aspiration</t>
        </is>
      </c>
      <c r="N66" t="inlineStr">
        <is>
          <t>none</t>
        </is>
      </c>
      <c r="O66" t="inlineStr">
        <is>
          <t>call_centre</t>
        </is>
      </c>
      <c r="P66" t="inlineStr">
        <is>
          <t>mass</t>
        </is>
      </c>
      <c r="Q66" t="inlineStr">
        <is>
          <t>no</t>
        </is>
      </c>
      <c r="R66" t="n">
        <v>1</v>
      </c>
      <c r="T66" t="inlineStr">
        <is>
          <t>https://www.instagram.com/askari_life/reel/DcS3gNbErb4/</t>
        </is>
      </c>
      <c r="U66" t="inlineStr">
        <is>
          <t>claude</t>
        </is>
      </c>
      <c r="V66" t="inlineStr">
        <is>
          <t>'YOUR FUTURE DESERVES MORE THAN JUST A PLAN'. [img: media/askari_life/DcS3gNbErb4.jpg]</t>
        </is>
      </c>
    </row>
    <row r="67">
      <c r="A67">
        <f>IF(B67="","",ROW()-1)</f>
        <v/>
      </c>
      <c r="B67" t="inlineStr">
        <is>
          <t>Askari Life Assurance</t>
        </is>
      </c>
      <c r="C67">
        <f>IFERROR(VLOOKUP(B67,Brands!$A:$B,2,FALSE),"")</f>
        <v/>
      </c>
      <c r="D67" t="inlineStr">
        <is>
          <t>meta</t>
        </is>
      </c>
      <c r="E67" t="inlineStr"/>
      <c r="F67" t="inlineStr">
        <is>
          <t>2026-08-27</t>
        </is>
      </c>
      <c r="G67" t="inlineStr">
        <is>
          <t>static</t>
        </is>
      </c>
      <c r="I67" t="inlineStr">
        <is>
          <t>mixed</t>
        </is>
      </c>
      <c r="J67" t="inlineStr">
        <is>
          <t>unclear</t>
        </is>
      </c>
      <c r="K67" t="inlineStr">
        <is>
          <t>other</t>
        </is>
      </c>
      <c r="L67" t="inlineStr">
        <is>
          <t>other</t>
        </is>
      </c>
      <c r="M67" t="inlineStr">
        <is>
          <t>reassurance</t>
        </is>
      </c>
      <c r="N67" t="inlineStr">
        <is>
          <t>none</t>
        </is>
      </c>
      <c r="O67" t="inlineStr">
        <is>
          <t>none</t>
        </is>
      </c>
      <c r="P67" t="inlineStr">
        <is>
          <t>mass</t>
        </is>
      </c>
      <c r="Q67" t="inlineStr">
        <is>
          <t>no</t>
        </is>
      </c>
      <c r="R67" t="n">
        <v>1</v>
      </c>
      <c r="T67" t="inlineStr">
        <is>
          <t>https://www.instagram.com/askari_life/p/DcIqpNlnO6e/</t>
        </is>
      </c>
      <c r="U67" t="inlineStr">
        <is>
          <t>claude</t>
        </is>
      </c>
      <c r="V67" t="inlineStr">
        <is>
          <t>NOT YET CODED - open the full-size file in media/ and code it. [img: media/askari_life/DcIqpNlnO6e.jpg]</t>
        </is>
      </c>
    </row>
    <row r="68">
      <c r="A68">
        <f>IF(B68="","",ROW()-1)</f>
        <v/>
      </c>
      <c r="B68" t="inlineStr">
        <is>
          <t>Askari Life Assurance</t>
        </is>
      </c>
      <c r="C68">
        <f>IFERROR(VLOOKUP(B68,Brands!$A:$B,2,FALSE),"")</f>
        <v/>
      </c>
      <c r="D68" t="inlineStr">
        <is>
          <t>meta</t>
        </is>
      </c>
      <c r="E68" t="inlineStr"/>
      <c r="F68" t="inlineStr">
        <is>
          <t>2026-08-27</t>
        </is>
      </c>
      <c r="G68" t="inlineStr">
        <is>
          <t>video</t>
        </is>
      </c>
      <c r="I68" t="inlineStr">
        <is>
          <t>mixed</t>
        </is>
      </c>
      <c r="J68" t="inlineStr">
        <is>
          <t>individual_life</t>
        </is>
      </c>
      <c r="K68" t="inlineStr">
        <is>
          <t>protection</t>
        </is>
      </c>
      <c r="L68" t="inlineStr">
        <is>
          <t>other</t>
        </is>
      </c>
      <c r="M68" t="inlineStr">
        <is>
          <t>aspiration</t>
        </is>
      </c>
      <c r="N68" t="inlineStr">
        <is>
          <t>none</t>
        </is>
      </c>
      <c r="O68" t="inlineStr">
        <is>
          <t>call_centre</t>
        </is>
      </c>
      <c r="P68" t="inlineStr">
        <is>
          <t>mass</t>
        </is>
      </c>
      <c r="Q68" t="inlineStr">
        <is>
          <t>no</t>
        </is>
      </c>
      <c r="R68" t="n">
        <v>1</v>
      </c>
      <c r="T68" t="inlineStr">
        <is>
          <t>https://www.instagram.com/askari_life/reel/Db-rn1YNn8B/</t>
        </is>
      </c>
      <c r="U68" t="inlineStr">
        <is>
          <t>claude</t>
        </is>
      </c>
      <c r="V68" t="inlineStr">
        <is>
          <t>'Ek chhotay se iraade se shuru hota hai'. Campaign platform. [img: media/askari_life/Db-rn1YNn8B.jpg]</t>
        </is>
      </c>
    </row>
    <row r="69">
      <c r="A69">
        <f>IF(B69="","",ROW()-1)</f>
        <v/>
      </c>
      <c r="B69" t="inlineStr">
        <is>
          <t>Askari Life Assurance</t>
        </is>
      </c>
      <c r="C69">
        <f>IFERROR(VLOOKUP(B69,Brands!$A:$B,2,FALSE),"")</f>
        <v/>
      </c>
      <c r="D69" t="inlineStr">
        <is>
          <t>meta</t>
        </is>
      </c>
      <c r="E69" t="inlineStr"/>
      <c r="F69" t="inlineStr">
        <is>
          <t>2026-08-27</t>
        </is>
      </c>
      <c r="G69" t="inlineStr">
        <is>
          <t>video</t>
        </is>
      </c>
      <c r="I69" t="inlineStr">
        <is>
          <t>mixed</t>
        </is>
      </c>
      <c r="J69" t="inlineStr">
        <is>
          <t>individual_life</t>
        </is>
      </c>
      <c r="K69" t="inlineStr">
        <is>
          <t>protection</t>
        </is>
      </c>
      <c r="L69" t="inlineStr">
        <is>
          <t>other</t>
        </is>
      </c>
      <c r="M69" t="inlineStr">
        <is>
          <t>reassurance</t>
        </is>
      </c>
      <c r="N69" t="inlineStr">
        <is>
          <t>none</t>
        </is>
      </c>
      <c r="O69" t="inlineStr">
        <is>
          <t>call_centre</t>
        </is>
      </c>
      <c r="P69" t="inlineStr">
        <is>
          <t>youth</t>
        </is>
      </c>
      <c r="Q69" t="inlineStr">
        <is>
          <t>yes</t>
        </is>
      </c>
      <c r="R69" t="n">
        <v>1</v>
      </c>
      <c r="T69" t="inlineStr">
        <is>
          <t>https://www.instagram.com/askari_life/reel/Db2YMNtk5rg/</t>
        </is>
      </c>
      <c r="U69" t="inlineStr">
        <is>
          <t>claude</t>
        </is>
      </c>
      <c r="V69" t="inlineStr">
        <is>
          <t>Chat UI: 'You added peace of mind / Uncertainty: Removed from chat'. Objection framing. [img: media/askari_life/Db2YMNtk5rg.jpg]</t>
        </is>
      </c>
    </row>
    <row r="70">
      <c r="A70">
        <f>IF(B70="","",ROW()-1)</f>
        <v/>
      </c>
      <c r="B70" t="inlineStr">
        <is>
          <t>Askari Life Assurance</t>
        </is>
      </c>
      <c r="C70">
        <f>IFERROR(VLOOKUP(B70,Brands!$A:$B,2,FALSE),"")</f>
        <v/>
      </c>
      <c r="D70" t="inlineStr">
        <is>
          <t>meta</t>
        </is>
      </c>
      <c r="E70" t="inlineStr"/>
      <c r="F70" t="inlineStr">
        <is>
          <t>2026-08-27</t>
        </is>
      </c>
      <c r="G70" t="inlineStr">
        <is>
          <t>static</t>
        </is>
      </c>
      <c r="I70" t="inlineStr">
        <is>
          <t>mixed</t>
        </is>
      </c>
      <c r="J70" t="inlineStr">
        <is>
          <t>savings_investment</t>
        </is>
      </c>
      <c r="K70" t="inlineStr">
        <is>
          <t>savings_return</t>
        </is>
      </c>
      <c r="L70" t="inlineStr">
        <is>
          <t>other</t>
        </is>
      </c>
      <c r="M70" t="inlineStr">
        <is>
          <t>aspiration</t>
        </is>
      </c>
      <c r="N70" t="inlineStr">
        <is>
          <t>none</t>
        </is>
      </c>
      <c r="O70" t="inlineStr">
        <is>
          <t>digital_direct</t>
        </is>
      </c>
      <c r="P70" t="inlineStr">
        <is>
          <t>mass</t>
        </is>
      </c>
      <c r="Q70" t="inlineStr">
        <is>
          <t>no</t>
        </is>
      </c>
      <c r="R70" t="n">
        <v>1</v>
      </c>
      <c r="T70" t="inlineStr">
        <is>
          <t>https://www.instagram.com/askari_life/p/Dbk1r-mnNNk/</t>
        </is>
      </c>
      <c r="U70" t="inlineStr">
        <is>
          <t>claude</t>
        </is>
      </c>
      <c r="V70" t="inlineStr">
        <is>
          <t>'BONUS ADDED - insurance notification you don't expect'. Golden Bonus Rewards. [img: media/askari_life/Dbk1r-mnNNk.jpg]</t>
        </is>
      </c>
    </row>
    <row r="71">
      <c r="A71">
        <f>IF(B71="","",ROW()-1)</f>
        <v/>
      </c>
      <c r="B71" t="inlineStr">
        <is>
          <t>Askari Life Assurance</t>
        </is>
      </c>
      <c r="C71">
        <f>IFERROR(VLOOKUP(B71,Brands!$A:$B,2,FALSE),"")</f>
        <v/>
      </c>
      <c r="D71" t="inlineStr">
        <is>
          <t>meta</t>
        </is>
      </c>
      <c r="E71" t="inlineStr"/>
      <c r="F71" t="inlineStr">
        <is>
          <t>2026-08-27</t>
        </is>
      </c>
      <c r="G71" t="inlineStr">
        <is>
          <t>static</t>
        </is>
      </c>
      <c r="I71" t="inlineStr">
        <is>
          <t>mixed</t>
        </is>
      </c>
      <c r="J71" t="inlineStr">
        <is>
          <t>unclear</t>
        </is>
      </c>
      <c r="K71" t="inlineStr">
        <is>
          <t>other</t>
        </is>
      </c>
      <c r="L71" t="inlineStr">
        <is>
          <t>other</t>
        </is>
      </c>
      <c r="M71" t="inlineStr">
        <is>
          <t>reassurance</t>
        </is>
      </c>
      <c r="N71" t="inlineStr">
        <is>
          <t>none</t>
        </is>
      </c>
      <c r="O71" t="inlineStr">
        <is>
          <t>none</t>
        </is>
      </c>
      <c r="P71" t="inlineStr">
        <is>
          <t>mass</t>
        </is>
      </c>
      <c r="Q71" t="inlineStr">
        <is>
          <t>no</t>
        </is>
      </c>
      <c r="R71" t="n">
        <v>1</v>
      </c>
      <c r="T71" t="inlineStr">
        <is>
          <t>https://www.instagram.com/askari_life/p/DbYIN_GnLR2/</t>
        </is>
      </c>
      <c r="U71" t="inlineStr">
        <is>
          <t>claude</t>
        </is>
      </c>
      <c r="V71" t="inlineStr">
        <is>
          <t>NOT YET CODED - open the full-size file in media/ and code it. [img: media/askari_life/DbYIN_GnLR2.jpg]</t>
        </is>
      </c>
    </row>
    <row r="72">
      <c r="A72">
        <f>IF(B72="","",ROW()-1)</f>
        <v/>
      </c>
      <c r="B72" t="inlineStr">
        <is>
          <t>Askari Life Assurance</t>
        </is>
      </c>
      <c r="C72">
        <f>IFERROR(VLOOKUP(B72,Brands!$A:$B,2,FALSE),"")</f>
        <v/>
      </c>
      <c r="D72" t="inlineStr">
        <is>
          <t>meta</t>
        </is>
      </c>
      <c r="E72" t="inlineStr"/>
      <c r="F72" t="inlineStr">
        <is>
          <t>2026-08-27</t>
        </is>
      </c>
      <c r="G72" t="inlineStr">
        <is>
          <t>static</t>
        </is>
      </c>
      <c r="I72" t="inlineStr">
        <is>
          <t>mixed</t>
        </is>
      </c>
      <c r="J72" t="inlineStr">
        <is>
          <t>child_education</t>
        </is>
      </c>
      <c r="K72" t="inlineStr">
        <is>
          <t>education_marriage</t>
        </is>
      </c>
      <c r="L72" t="inlineStr">
        <is>
          <t>other</t>
        </is>
      </c>
      <c r="M72" t="inlineStr">
        <is>
          <t>duty</t>
        </is>
      </c>
      <c r="N72" t="inlineStr">
        <is>
          <t>none</t>
        </is>
      </c>
      <c r="O72" t="inlineStr">
        <is>
          <t>call_centre</t>
        </is>
      </c>
      <c r="P72" t="inlineStr">
        <is>
          <t>mass</t>
        </is>
      </c>
      <c r="Q72" t="inlineStr">
        <is>
          <t>no</t>
        </is>
      </c>
      <c r="R72" t="n">
        <v>1</v>
      </c>
      <c r="T72" t="inlineStr">
        <is>
          <t>https://www.instagram.com/askari_life/p/DbH_qeKnBPu/</t>
        </is>
      </c>
      <c r="U72" t="inlineStr">
        <is>
          <t>claude</t>
        </is>
      </c>
      <c r="V72" t="inlineStr">
        <is>
          <t>'SCHOOL FEES TODAY. University dreams tomorrow.' [img: media/askari_life/DbH_qeKnBPu.jpg]</t>
        </is>
      </c>
    </row>
    <row r="73">
      <c r="A73">
        <f>IF(B73="","",ROW()-1)</f>
        <v/>
      </c>
      <c r="B73" t="inlineStr">
        <is>
          <t>Askari Life Assurance</t>
        </is>
      </c>
      <c r="C73">
        <f>IFERROR(VLOOKUP(B73,Brands!$A:$B,2,FALSE),"")</f>
        <v/>
      </c>
      <c r="D73" t="inlineStr">
        <is>
          <t>meta</t>
        </is>
      </c>
      <c r="E73" t="inlineStr"/>
      <c r="F73" t="inlineStr">
        <is>
          <t>2026-08-27</t>
        </is>
      </c>
      <c r="G73" t="inlineStr">
        <is>
          <t>video</t>
        </is>
      </c>
      <c r="I73" t="inlineStr">
        <is>
          <t>mixed</t>
        </is>
      </c>
      <c r="J73" t="inlineStr">
        <is>
          <t>unclear</t>
        </is>
      </c>
      <c r="K73" t="inlineStr">
        <is>
          <t>other</t>
        </is>
      </c>
      <c r="L73" t="inlineStr">
        <is>
          <t>other</t>
        </is>
      </c>
      <c r="M73" t="inlineStr">
        <is>
          <t>reassurance</t>
        </is>
      </c>
      <c r="N73" t="inlineStr">
        <is>
          <t>none</t>
        </is>
      </c>
      <c r="O73" t="inlineStr">
        <is>
          <t>none</t>
        </is>
      </c>
      <c r="P73" t="inlineStr">
        <is>
          <t>mass</t>
        </is>
      </c>
      <c r="Q73" t="inlineStr">
        <is>
          <t>no</t>
        </is>
      </c>
      <c r="R73" t="n">
        <v>1</v>
      </c>
      <c r="T73" t="inlineStr">
        <is>
          <t>https://www.instagram.com/askari_life/reel/DawwI8XlG62/</t>
        </is>
      </c>
      <c r="U73" t="inlineStr">
        <is>
          <t>claude</t>
        </is>
      </c>
      <c r="V73" t="inlineStr">
        <is>
          <t>NOT YET CODED - open the full-size file in media/ and code it. [img: media/askari_life/DawwI8XlG62.jpg]</t>
        </is>
      </c>
    </row>
    <row r="74">
      <c r="A74">
        <f>IF(B74="","",ROW()-1)</f>
        <v/>
      </c>
      <c r="B74" t="inlineStr">
        <is>
          <t>TPL Life Insurance</t>
        </is>
      </c>
      <c r="C74">
        <f>IFERROR(VLOOKUP(B74,Brands!$A:$B,2,FALSE),"")</f>
        <v/>
      </c>
      <c r="D74" t="inlineStr">
        <is>
          <t>meta</t>
        </is>
      </c>
      <c r="E74" t="inlineStr"/>
      <c r="F74" t="inlineStr">
        <is>
          <t>2026-08-27</t>
        </is>
      </c>
      <c r="G74" t="inlineStr">
        <is>
          <t>static</t>
        </is>
      </c>
      <c r="I74" t="inlineStr">
        <is>
          <t>mixed</t>
        </is>
      </c>
      <c r="J74" t="inlineStr">
        <is>
          <t>health</t>
        </is>
      </c>
      <c r="K74" t="inlineStr">
        <is>
          <t>protection</t>
        </is>
      </c>
      <c r="L74" t="inlineStr">
        <is>
          <t>other</t>
        </is>
      </c>
      <c r="M74" t="inlineStr">
        <is>
          <t>aspiration</t>
        </is>
      </c>
      <c r="N74" t="inlineStr">
        <is>
          <t>none</t>
        </is>
      </c>
      <c r="O74" t="inlineStr">
        <is>
          <t>digital_direct</t>
        </is>
      </c>
      <c r="P74" t="inlineStr">
        <is>
          <t>affluent</t>
        </is>
      </c>
      <c r="Q74" t="inlineStr">
        <is>
          <t>no</t>
        </is>
      </c>
      <c r="R74" t="n">
        <v>1</v>
      </c>
      <c r="T74" t="inlineStr">
        <is>
          <t>https://www.instagram.com/tpllife/p/DcK1y_ngGU4/</t>
        </is>
      </c>
      <c r="U74" t="inlineStr">
        <is>
          <t>claude</t>
        </is>
      </c>
      <c r="V74" t="inlineStr">
        <is>
          <t>'From Dubai to London, Globewell has got your back'. [img: media/tpllife/DcK1y_ngGU4.jpg]</t>
        </is>
      </c>
    </row>
    <row r="75">
      <c r="A75">
        <f>IF(B75="","",ROW()-1)</f>
        <v/>
      </c>
      <c r="B75" t="inlineStr">
        <is>
          <t>TPL Life Insurance</t>
        </is>
      </c>
      <c r="C75">
        <f>IFERROR(VLOOKUP(B75,Brands!$A:$B,2,FALSE),"")</f>
        <v/>
      </c>
      <c r="D75" t="inlineStr">
        <is>
          <t>meta</t>
        </is>
      </c>
      <c r="E75" t="inlineStr"/>
      <c r="F75" t="inlineStr">
        <is>
          <t>2026-08-27</t>
        </is>
      </c>
      <c r="G75" t="inlineStr">
        <is>
          <t>static</t>
        </is>
      </c>
      <c r="I75" t="inlineStr">
        <is>
          <t>mixed</t>
        </is>
      </c>
      <c r="J75" t="inlineStr">
        <is>
          <t>brand_corporate</t>
        </is>
      </c>
      <c r="K75" t="inlineStr">
        <is>
          <t>national_trust</t>
        </is>
      </c>
      <c r="L75" t="inlineStr">
        <is>
          <t>other</t>
        </is>
      </c>
      <c r="M75" t="inlineStr">
        <is>
          <t>pride</t>
        </is>
      </c>
      <c r="N75" t="inlineStr">
        <is>
          <t>none</t>
        </is>
      </c>
      <c r="O75" t="inlineStr">
        <is>
          <t>none</t>
        </is>
      </c>
      <c r="P75" t="inlineStr">
        <is>
          <t>mass</t>
        </is>
      </c>
      <c r="Q75" t="inlineStr">
        <is>
          <t>no</t>
        </is>
      </c>
      <c r="R75" t="n">
        <v>1</v>
      </c>
      <c r="T75" t="inlineStr">
        <is>
          <t>https://www.instagram.com/tpllife/p/DcAifPGiqQj/</t>
        </is>
      </c>
      <c r="U75" t="inlineStr">
        <is>
          <t>claude</t>
        </is>
      </c>
      <c r="V75" t="inlineStr">
        <is>
          <t>79 Years Independence stamp illustration. [img: media/tpllife/DcAifPGiqQj.jpg]</t>
        </is>
      </c>
    </row>
    <row r="76">
      <c r="A76">
        <f>IF(B76="","",ROW()-1)</f>
        <v/>
      </c>
      <c r="B76" t="inlineStr">
        <is>
          <t>TPL Life Insurance</t>
        </is>
      </c>
      <c r="C76">
        <f>IFERROR(VLOOKUP(B76,Brands!$A:$B,2,FALSE),"")</f>
        <v/>
      </c>
      <c r="D76" t="inlineStr">
        <is>
          <t>meta</t>
        </is>
      </c>
      <c r="E76" t="inlineStr"/>
      <c r="F76" t="inlineStr">
        <is>
          <t>2026-08-27</t>
        </is>
      </c>
      <c r="G76" t="inlineStr">
        <is>
          <t>static</t>
        </is>
      </c>
      <c r="I76" t="inlineStr">
        <is>
          <t>mixed</t>
        </is>
      </c>
      <c r="J76" t="inlineStr">
        <is>
          <t>brand_corporate</t>
        </is>
      </c>
      <c r="K76" t="inlineStr">
        <is>
          <t>faith_compliance</t>
        </is>
      </c>
      <c r="L76" t="inlineStr">
        <is>
          <t>other</t>
        </is>
      </c>
      <c r="M76" t="inlineStr">
        <is>
          <t>pride</t>
        </is>
      </c>
      <c r="N76" t="inlineStr">
        <is>
          <t>none</t>
        </is>
      </c>
      <c r="O76" t="inlineStr">
        <is>
          <t>none</t>
        </is>
      </c>
      <c r="P76" t="inlineStr">
        <is>
          <t>sme_corporate</t>
        </is>
      </c>
      <c r="Q76" t="inlineStr">
        <is>
          <t>no</t>
        </is>
      </c>
      <c r="R76" t="n">
        <v>1</v>
      </c>
      <c r="T76" t="inlineStr">
        <is>
          <t>https://www.instagram.com/tpllife/p/Db7pvpIFvNs/</t>
        </is>
      </c>
      <c r="U76" t="inlineStr">
        <is>
          <t>claude</t>
        </is>
      </c>
      <c r="V76" t="inlineStr">
        <is>
          <t>MobiLink/Bank partnership signing, 'Partnering for greater protection'. [img: media/tpllife/Db7pvpIFvNs.jpg]</t>
        </is>
      </c>
    </row>
    <row r="77">
      <c r="A77">
        <f>IF(B77="","",ROW()-1)</f>
        <v/>
      </c>
      <c r="B77" t="inlineStr">
        <is>
          <t>TPL Life Insurance</t>
        </is>
      </c>
      <c r="C77">
        <f>IFERROR(VLOOKUP(B77,Brands!$A:$B,2,FALSE),"")</f>
        <v/>
      </c>
      <c r="D77" t="inlineStr">
        <is>
          <t>meta</t>
        </is>
      </c>
      <c r="E77" t="inlineStr"/>
      <c r="F77" t="inlineStr">
        <is>
          <t>2026-08-27</t>
        </is>
      </c>
      <c r="G77" t="inlineStr">
        <is>
          <t>static</t>
        </is>
      </c>
      <c r="I77" t="inlineStr">
        <is>
          <t>mixed</t>
        </is>
      </c>
      <c r="J77" t="inlineStr">
        <is>
          <t>health</t>
        </is>
      </c>
      <c r="K77" t="inlineStr">
        <is>
          <t>protection</t>
        </is>
      </c>
      <c r="L77" t="inlineStr">
        <is>
          <t>convenience_digital</t>
        </is>
      </c>
      <c r="M77" t="inlineStr">
        <is>
          <t>reassurance</t>
        </is>
      </c>
      <c r="N77" t="inlineStr">
        <is>
          <t>none</t>
        </is>
      </c>
      <c r="O77" t="inlineStr">
        <is>
          <t>digital_direct</t>
        </is>
      </c>
      <c r="P77" t="inlineStr">
        <is>
          <t>affluent</t>
        </is>
      </c>
      <c r="Q77" t="inlineStr">
        <is>
          <t>no</t>
        </is>
      </c>
      <c r="R77" t="n">
        <v>1</v>
      </c>
      <c r="T77" t="inlineStr">
        <is>
          <t>https://www.instagram.com/tpllife/p/Db2NdLgCO4g/</t>
        </is>
      </c>
      <c r="U77" t="inlineStr">
        <is>
          <t>claude</t>
        </is>
      </c>
      <c r="V77" t="inlineStr">
        <is>
          <t>'Your health, insured worldwide', 24/7 medical assistance. [img: media/tpllife/Db2NdLgCO4g.jpg]</t>
        </is>
      </c>
    </row>
    <row r="78">
      <c r="A78">
        <f>IF(B78="","",ROW()-1)</f>
        <v/>
      </c>
      <c r="B78" t="inlineStr">
        <is>
          <t>TPL Life Insurance</t>
        </is>
      </c>
      <c r="C78">
        <f>IFERROR(VLOOKUP(B78,Brands!$A:$B,2,FALSE),"")</f>
        <v/>
      </c>
      <c r="D78" t="inlineStr">
        <is>
          <t>meta</t>
        </is>
      </c>
      <c r="E78" t="inlineStr"/>
      <c r="F78" t="inlineStr">
        <is>
          <t>2026-08-27</t>
        </is>
      </c>
      <c r="G78" t="inlineStr">
        <is>
          <t>static</t>
        </is>
      </c>
      <c r="I78" t="inlineStr">
        <is>
          <t>mixed</t>
        </is>
      </c>
      <c r="J78" t="inlineStr">
        <is>
          <t>brand_corporate</t>
        </is>
      </c>
      <c r="K78" t="inlineStr">
        <is>
          <t>brand_corporate</t>
        </is>
      </c>
      <c r="L78" t="inlineStr">
        <is>
          <t>other</t>
        </is>
      </c>
      <c r="M78" t="inlineStr">
        <is>
          <t>pride</t>
        </is>
      </c>
      <c r="N78" t="inlineStr">
        <is>
          <t>none</t>
        </is>
      </c>
      <c r="O78" t="inlineStr">
        <is>
          <t>none</t>
        </is>
      </c>
      <c r="P78" t="inlineStr">
        <is>
          <t>sme_corporate</t>
        </is>
      </c>
      <c r="Q78" t="inlineStr">
        <is>
          <t>no</t>
        </is>
      </c>
      <c r="R78" t="n">
        <v>1</v>
      </c>
      <c r="T78" t="inlineStr">
        <is>
          <t>https://www.instagram.com/tpllife/p/DbpYV5UDu4L/</t>
        </is>
      </c>
      <c r="U78" t="inlineStr">
        <is>
          <t>claude</t>
        </is>
      </c>
      <c r="V78" t="inlineStr">
        <is>
          <t>'Celebrating a successful H1 2026' with DIB. [img: media/tpllife/DbpYV5UDu4L.jpg]</t>
        </is>
      </c>
    </row>
    <row r="79">
      <c r="A79">
        <f>IF(B79="","",ROW()-1)</f>
        <v/>
      </c>
      <c r="B79" t="inlineStr">
        <is>
          <t>TPL Life Insurance</t>
        </is>
      </c>
      <c r="C79">
        <f>IFERROR(VLOOKUP(B79,Brands!$A:$B,2,FALSE),"")</f>
        <v/>
      </c>
      <c r="D79" t="inlineStr">
        <is>
          <t>meta</t>
        </is>
      </c>
      <c r="E79" t="inlineStr"/>
      <c r="F79" t="inlineStr">
        <is>
          <t>2026-08-27</t>
        </is>
      </c>
      <c r="G79" t="inlineStr">
        <is>
          <t>static</t>
        </is>
      </c>
      <c r="I79" t="inlineStr">
        <is>
          <t>mixed</t>
        </is>
      </c>
      <c r="J79" t="inlineStr">
        <is>
          <t>health</t>
        </is>
      </c>
      <c r="K79" t="inlineStr">
        <is>
          <t>protection</t>
        </is>
      </c>
      <c r="L79" t="inlineStr">
        <is>
          <t>other</t>
        </is>
      </c>
      <c r="M79" t="inlineStr">
        <is>
          <t>reassurance</t>
        </is>
      </c>
      <c r="N79" t="inlineStr">
        <is>
          <t>none</t>
        </is>
      </c>
      <c r="O79" t="inlineStr">
        <is>
          <t>digital_direct</t>
        </is>
      </c>
      <c r="P79" t="inlineStr">
        <is>
          <t>affluent</t>
        </is>
      </c>
      <c r="Q79" t="inlineStr">
        <is>
          <t>no</t>
        </is>
      </c>
      <c r="R79" t="n">
        <v>1</v>
      </c>
      <c r="T79" t="inlineStr">
        <is>
          <t>https://www.instagram.com/tpllife/p/DbSMK7XCNHi/</t>
        </is>
      </c>
      <c r="U79" t="inlineStr">
        <is>
          <t>claude</t>
        </is>
      </c>
      <c r="V79" t="inlineStr">
        <is>
          <t>'World-class hospitals. One international plan.' $500,000. [img: media/tpllife/DbSMK7XCNHi.jpg]</t>
        </is>
      </c>
    </row>
    <row r="80">
      <c r="A80">
        <f>IF(B80="","",ROW()-1)</f>
        <v/>
      </c>
      <c r="B80" t="inlineStr">
        <is>
          <t>TPL Life Insurance</t>
        </is>
      </c>
      <c r="C80">
        <f>IFERROR(VLOOKUP(B80,Brands!$A:$B,2,FALSE),"")</f>
        <v/>
      </c>
      <c r="D80" t="inlineStr">
        <is>
          <t>meta</t>
        </is>
      </c>
      <c r="E80" t="inlineStr"/>
      <c r="F80" t="inlineStr">
        <is>
          <t>2026-08-27</t>
        </is>
      </c>
      <c r="G80" t="inlineStr">
        <is>
          <t>static</t>
        </is>
      </c>
      <c r="I80" t="inlineStr">
        <is>
          <t>mixed</t>
        </is>
      </c>
      <c r="J80" t="inlineStr">
        <is>
          <t>health</t>
        </is>
      </c>
      <c r="K80" t="inlineStr">
        <is>
          <t>protection</t>
        </is>
      </c>
      <c r="L80" t="inlineStr">
        <is>
          <t>other</t>
        </is>
      </c>
      <c r="M80" t="inlineStr">
        <is>
          <t>aspiration</t>
        </is>
      </c>
      <c r="N80" t="inlineStr">
        <is>
          <t>none</t>
        </is>
      </c>
      <c r="O80" t="inlineStr">
        <is>
          <t>digital_direct</t>
        </is>
      </c>
      <c r="P80" t="inlineStr">
        <is>
          <t>affluent</t>
        </is>
      </c>
      <c r="Q80" t="inlineStr">
        <is>
          <t>no</t>
        </is>
      </c>
      <c r="R80" t="n">
        <v>1</v>
      </c>
      <c r="T80" t="inlineStr">
        <is>
          <t>https://www.instagram.com/tpllife/p/DbAO2HPgPVi/</t>
        </is>
      </c>
      <c r="U80" t="inlineStr">
        <is>
          <t>claude</t>
        </is>
      </c>
      <c r="V80" t="inlineStr">
        <is>
          <t>'Vacationing abroad? Globewell travels with you', $500,000. [img: media/tpllife/DbAO2HPgPVi.jpg]</t>
        </is>
      </c>
    </row>
    <row r="81">
      <c r="A81">
        <f>IF(B81="","",ROW()-1)</f>
        <v/>
      </c>
      <c r="B81" t="inlineStr">
        <is>
          <t>TPL Life Insurance</t>
        </is>
      </c>
      <c r="C81">
        <f>IFERROR(VLOOKUP(B81,Brands!$A:$B,2,FALSE),"")</f>
        <v/>
      </c>
      <c r="D81" t="inlineStr">
        <is>
          <t>meta</t>
        </is>
      </c>
      <c r="E81" t="inlineStr"/>
      <c r="F81" t="inlineStr">
        <is>
          <t>2026-08-27</t>
        </is>
      </c>
      <c r="G81" t="inlineStr">
        <is>
          <t>static</t>
        </is>
      </c>
      <c r="I81" t="inlineStr">
        <is>
          <t>mixed</t>
        </is>
      </c>
      <c r="J81" t="inlineStr">
        <is>
          <t>health</t>
        </is>
      </c>
      <c r="K81" t="inlineStr">
        <is>
          <t>protection</t>
        </is>
      </c>
      <c r="L81" t="inlineStr">
        <is>
          <t>other</t>
        </is>
      </c>
      <c r="M81" t="inlineStr">
        <is>
          <t>aspiration</t>
        </is>
      </c>
      <c r="N81" t="inlineStr">
        <is>
          <t>none</t>
        </is>
      </c>
      <c r="O81" t="inlineStr">
        <is>
          <t>digital_direct</t>
        </is>
      </c>
      <c r="P81" t="inlineStr">
        <is>
          <t>affluent</t>
        </is>
      </c>
      <c r="Q81" t="inlineStr">
        <is>
          <t>no</t>
        </is>
      </c>
      <c r="R81" t="n">
        <v>1</v>
      </c>
      <c r="T81" t="inlineStr">
        <is>
          <t>https://www.instagram.com/tpllife/p/DauMnaKgFfh/</t>
        </is>
      </c>
      <c r="U81" t="inlineStr">
        <is>
          <t>claude</t>
        </is>
      </c>
      <c r="V81" t="inlineStr">
        <is>
          <t>Globewell: 'Global adventures deserve global protection', 185+ countries. [img: media/tpllife/DauMnaKgFfh.jpg]</t>
        </is>
      </c>
    </row>
    <row r="82">
      <c r="A82">
        <f>IF(B82="","",ROW()-1)</f>
        <v/>
      </c>
      <c r="B82" t="inlineStr">
        <is>
          <t>TPL Life Insurance</t>
        </is>
      </c>
      <c r="C82">
        <f>IFERROR(VLOOKUP(B82,Brands!$A:$B,2,FALSE),"")</f>
        <v/>
      </c>
      <c r="D82" t="inlineStr">
        <is>
          <t>meta</t>
        </is>
      </c>
      <c r="E82" t="inlineStr"/>
      <c r="F82" t="inlineStr">
        <is>
          <t>2026-08-27</t>
        </is>
      </c>
      <c r="G82" t="inlineStr">
        <is>
          <t>static</t>
        </is>
      </c>
      <c r="I82" t="inlineStr">
        <is>
          <t>mixed</t>
        </is>
      </c>
      <c r="J82" t="inlineStr">
        <is>
          <t>health</t>
        </is>
      </c>
      <c r="K82" t="inlineStr">
        <is>
          <t>price_affordability</t>
        </is>
      </c>
      <c r="L82" t="inlineStr">
        <is>
          <t>other</t>
        </is>
      </c>
      <c r="M82" t="inlineStr">
        <is>
          <t>reassurance</t>
        </is>
      </c>
      <c r="N82" t="inlineStr">
        <is>
          <t>none</t>
        </is>
      </c>
      <c r="O82" t="inlineStr">
        <is>
          <t>digital_direct</t>
        </is>
      </c>
      <c r="P82" t="inlineStr">
        <is>
          <t>rural</t>
        </is>
      </c>
      <c r="Q82" t="inlineStr">
        <is>
          <t>no</t>
        </is>
      </c>
      <c r="R82" t="n">
        <v>1</v>
      </c>
      <c r="T82" t="inlineStr">
        <is>
          <t>https://www.instagram.com/tpllife/p/DZUBKHvCK9b/</t>
        </is>
      </c>
      <c r="U82" t="inlineStr">
        <is>
          <t>claude</t>
        </is>
      </c>
      <c r="V82" t="inlineStr">
        <is>
          <t>'Affordable plan. Nationwide coverage.' Top-tier hospitals. [img: media/tpllife/DZUBKHvCK9b.jpg]</t>
        </is>
      </c>
    </row>
    <row r="83">
      <c r="A83">
        <f>IF(B83="","",ROW()-1)</f>
        <v/>
      </c>
      <c r="B83" t="inlineStr">
        <is>
          <t>TPL Life Insurance</t>
        </is>
      </c>
      <c r="C83">
        <f>IFERROR(VLOOKUP(B83,Brands!$A:$B,2,FALSE),"")</f>
        <v/>
      </c>
      <c r="D83" t="inlineStr">
        <is>
          <t>meta</t>
        </is>
      </c>
      <c r="E83" t="inlineStr"/>
      <c r="F83" t="inlineStr">
        <is>
          <t>2026-08-27</t>
        </is>
      </c>
      <c r="G83" t="inlineStr">
        <is>
          <t>static</t>
        </is>
      </c>
      <c r="I83" t="inlineStr">
        <is>
          <t>mixed</t>
        </is>
      </c>
      <c r="J83" t="inlineStr">
        <is>
          <t>health</t>
        </is>
      </c>
      <c r="K83" t="inlineStr">
        <is>
          <t>price_affordability</t>
        </is>
      </c>
      <c r="L83" t="inlineStr">
        <is>
          <t>protection</t>
        </is>
      </c>
      <c r="M83" t="inlineStr">
        <is>
          <t>reassurance</t>
        </is>
      </c>
      <c r="N83" t="inlineStr">
        <is>
          <t>none</t>
        </is>
      </c>
      <c r="O83" t="inlineStr">
        <is>
          <t>digital_direct</t>
        </is>
      </c>
      <c r="P83" t="inlineStr">
        <is>
          <t>mass</t>
        </is>
      </c>
      <c r="Q83" t="inlineStr">
        <is>
          <t>no</t>
        </is>
      </c>
      <c r="R83" t="n">
        <v>1</v>
      </c>
      <c r="T83" t="inlineStr">
        <is>
          <t>https://www.instagram.com/tpllife/p/DZHJYUpgGo4/</t>
        </is>
      </c>
      <c r="U83" t="inlineStr">
        <is>
          <t>claude</t>
        </is>
      </c>
      <c r="V83" t="inlineStr">
        <is>
          <t>Sehat Zindagi: 'Quality healthcare doesn't have to be expensive', PKR 1,250,000. [img: media/tpllife/DZHJYUpgGo4.jpg]</t>
        </is>
      </c>
    </row>
    <row r="84">
      <c r="A84">
        <f>IF(B84="","",ROW()-1)</f>
        <v/>
      </c>
      <c r="B84" t="inlineStr">
        <is>
          <t>TPL Life Insurance</t>
        </is>
      </c>
      <c r="C84">
        <f>IFERROR(VLOOKUP(B84,Brands!$A:$B,2,FALSE),"")</f>
        <v/>
      </c>
      <c r="D84" t="inlineStr">
        <is>
          <t>meta</t>
        </is>
      </c>
      <c r="E84" t="inlineStr"/>
      <c r="F84" t="inlineStr">
        <is>
          <t>2026-08-27</t>
        </is>
      </c>
      <c r="G84" t="inlineStr">
        <is>
          <t>static</t>
        </is>
      </c>
      <c r="I84" t="inlineStr">
        <is>
          <t>mixed</t>
        </is>
      </c>
      <c r="J84" t="inlineStr">
        <is>
          <t>brand_corporate</t>
        </is>
      </c>
      <c r="K84" t="inlineStr">
        <is>
          <t>faith_compliance</t>
        </is>
      </c>
      <c r="L84" t="inlineStr">
        <is>
          <t>other</t>
        </is>
      </c>
      <c r="M84" t="inlineStr">
        <is>
          <t>reassurance</t>
        </is>
      </c>
      <c r="N84" t="inlineStr">
        <is>
          <t>none</t>
        </is>
      </c>
      <c r="O84" t="inlineStr">
        <is>
          <t>none</t>
        </is>
      </c>
      <c r="P84" t="inlineStr">
        <is>
          <t>mass</t>
        </is>
      </c>
      <c r="Q84" t="inlineStr">
        <is>
          <t>no</t>
        </is>
      </c>
      <c r="R84" t="n">
        <v>1</v>
      </c>
      <c r="T84" t="inlineStr">
        <is>
          <t>https://www.instagram.com/tpllife/p/DY04PKAiNdu/</t>
        </is>
      </c>
      <c r="U84" t="inlineStr">
        <is>
          <t>claude</t>
        </is>
      </c>
      <c r="V84" t="inlineStr">
        <is>
          <t>Eid-ul-Adha greeting. [img: media/tpllife/DY04PKAiNdu.jpg]</t>
        </is>
      </c>
    </row>
    <row r="85">
      <c r="A85">
        <f>IF(B85="","",ROW()-1)</f>
        <v/>
      </c>
      <c r="B85" t="inlineStr">
        <is>
          <t>TPL Life Insurance</t>
        </is>
      </c>
      <c r="C85">
        <f>IFERROR(VLOOKUP(B85,Brands!$A:$B,2,FALSE),"")</f>
        <v/>
      </c>
      <c r="D85" t="inlineStr">
        <is>
          <t>meta</t>
        </is>
      </c>
      <c r="E85" t="inlineStr"/>
      <c r="F85" t="inlineStr">
        <is>
          <t>2026-08-27</t>
        </is>
      </c>
      <c r="G85" t="inlineStr">
        <is>
          <t>static</t>
        </is>
      </c>
      <c r="I85" t="inlineStr">
        <is>
          <t>mixed</t>
        </is>
      </c>
      <c r="J85" t="inlineStr">
        <is>
          <t>health</t>
        </is>
      </c>
      <c r="K85" t="inlineStr">
        <is>
          <t>protection</t>
        </is>
      </c>
      <c r="L85" t="inlineStr">
        <is>
          <t>other</t>
        </is>
      </c>
      <c r="M85" t="inlineStr">
        <is>
          <t>reassurance</t>
        </is>
      </c>
      <c r="N85" t="inlineStr">
        <is>
          <t>none</t>
        </is>
      </c>
      <c r="O85" t="inlineStr">
        <is>
          <t>digital_direct</t>
        </is>
      </c>
      <c r="P85" t="inlineStr">
        <is>
          <t>affluent</t>
        </is>
      </c>
      <c r="Q85" t="inlineStr">
        <is>
          <t>no</t>
        </is>
      </c>
      <c r="R85" t="n">
        <v>1</v>
      </c>
      <c r="T85" t="inlineStr">
        <is>
          <t>https://www.instagram.com/tpllife/p/DYWPP3_ACKa/</t>
        </is>
      </c>
      <c r="U85" t="inlineStr">
        <is>
          <t>claude</t>
        </is>
      </c>
      <c r="V85" t="inlineStr">
        <is>
          <t>'Global care. Zero compromise.' $500,000. [img: media/tpllife/DYWPP3_ACKa.jpg]</t>
        </is>
      </c>
    </row>
    <row r="86">
      <c r="A86">
        <f>IF(B86="","",ROW()-1)</f>
        <v/>
      </c>
      <c r="B86" t="inlineStr">
        <is>
          <t>Pak-Qatar Family Takaful</t>
        </is>
      </c>
      <c r="C86">
        <f>IFERROR(VLOOKUP(B86,Brands!$A:$B,2,FALSE),"")</f>
        <v/>
      </c>
      <c r="D86" t="inlineStr">
        <is>
          <t>meta</t>
        </is>
      </c>
      <c r="E86" t="inlineStr"/>
      <c r="F86" t="inlineStr">
        <is>
          <t>2026-08-27</t>
        </is>
      </c>
      <c r="G86" t="inlineStr">
        <is>
          <t>static</t>
        </is>
      </c>
      <c r="I86" t="inlineStr">
        <is>
          <t>mixed</t>
        </is>
      </c>
      <c r="J86" t="inlineStr">
        <is>
          <t>group_corporate</t>
        </is>
      </c>
      <c r="K86" t="inlineStr">
        <is>
          <t>protection</t>
        </is>
      </c>
      <c r="L86" t="inlineStr">
        <is>
          <t>other</t>
        </is>
      </c>
      <c r="M86" t="inlineStr">
        <is>
          <t>duty</t>
        </is>
      </c>
      <c r="N86" t="inlineStr">
        <is>
          <t>ratings_awards</t>
        </is>
      </c>
      <c r="O86" t="inlineStr">
        <is>
          <t>agent</t>
        </is>
      </c>
      <c r="P86" t="inlineStr">
        <is>
          <t>sme_corporate</t>
        </is>
      </c>
      <c r="Q86" t="inlineStr">
        <is>
          <t>no</t>
        </is>
      </c>
      <c r="R86" t="n">
        <v>1</v>
      </c>
      <c r="T86" t="inlineStr">
        <is>
          <t>https://www.instagram.com/pqftl_official/p/DciELVJiOxw/</t>
        </is>
      </c>
      <c r="U86" t="inlineStr">
        <is>
          <t>claude</t>
        </is>
      </c>
      <c r="V86" t="inlineStr">
        <is>
          <t>'In uncertain moments, support matters most' - Group Health Takaful. [img: media/pqftl_official/DciELVJiOxw.jpg]</t>
        </is>
      </c>
    </row>
    <row r="87">
      <c r="A87">
        <f>IF(B87="","",ROW()-1)</f>
        <v/>
      </c>
      <c r="B87" t="inlineStr">
        <is>
          <t>Pak-Qatar Family Takaful</t>
        </is>
      </c>
      <c r="C87">
        <f>IFERROR(VLOOKUP(B87,Brands!$A:$B,2,FALSE),"")</f>
        <v/>
      </c>
      <c r="D87" t="inlineStr">
        <is>
          <t>meta</t>
        </is>
      </c>
      <c r="E87" t="inlineStr"/>
      <c r="F87" t="inlineStr">
        <is>
          <t>2026-08-27</t>
        </is>
      </c>
      <c r="G87" t="inlineStr">
        <is>
          <t>static</t>
        </is>
      </c>
      <c r="I87" t="inlineStr">
        <is>
          <t>mixed</t>
        </is>
      </c>
      <c r="J87" t="inlineStr">
        <is>
          <t>brand_corporate</t>
        </is>
      </c>
      <c r="K87" t="inlineStr">
        <is>
          <t>brand_corporate</t>
        </is>
      </c>
      <c r="L87" t="inlineStr">
        <is>
          <t>other</t>
        </is>
      </c>
      <c r="M87" t="inlineStr">
        <is>
          <t>pride</t>
        </is>
      </c>
      <c r="N87" t="inlineStr">
        <is>
          <t>none</t>
        </is>
      </c>
      <c r="O87" t="inlineStr">
        <is>
          <t>none</t>
        </is>
      </c>
      <c r="P87" t="inlineStr">
        <is>
          <t>mass</t>
        </is>
      </c>
      <c r="Q87" t="inlineStr">
        <is>
          <t>no</t>
        </is>
      </c>
      <c r="R87" t="n">
        <v>1</v>
      </c>
      <c r="T87" t="inlineStr">
        <is>
          <t>https://www.instagram.com/pqftl_official/p/DcdG-TJiCOi/</t>
        </is>
      </c>
      <c r="U87" t="inlineStr">
        <is>
          <t>claude</t>
        </is>
      </c>
      <c r="V87" t="inlineStr">
        <is>
          <t>Bahawalpur branch inauguration. [img: media/pqftl_official/DcdG-TJiCOi.jpg]</t>
        </is>
      </c>
    </row>
    <row r="88">
      <c r="A88">
        <f>IF(B88="","",ROW()-1)</f>
        <v/>
      </c>
      <c r="B88" t="inlineStr">
        <is>
          <t>Pak-Qatar Family Takaful</t>
        </is>
      </c>
      <c r="C88">
        <f>IFERROR(VLOOKUP(B88,Brands!$A:$B,2,FALSE),"")</f>
        <v/>
      </c>
      <c r="D88" t="inlineStr">
        <is>
          <t>meta</t>
        </is>
      </c>
      <c r="E88" t="inlineStr"/>
      <c r="F88" t="inlineStr">
        <is>
          <t>2026-08-27</t>
        </is>
      </c>
      <c r="G88" t="inlineStr">
        <is>
          <t>static</t>
        </is>
      </c>
      <c r="I88" t="inlineStr">
        <is>
          <t>mixed</t>
        </is>
      </c>
      <c r="J88" t="inlineStr">
        <is>
          <t>retirement</t>
        </is>
      </c>
      <c r="K88" t="inlineStr">
        <is>
          <t>retirement</t>
        </is>
      </c>
      <c r="L88" t="inlineStr">
        <is>
          <t>faith_compliance</t>
        </is>
      </c>
      <c r="M88" t="inlineStr">
        <is>
          <t>reassurance</t>
        </is>
      </c>
      <c r="N88" t="inlineStr">
        <is>
          <t>ratings_awards</t>
        </is>
      </c>
      <c r="O88" t="inlineStr">
        <is>
          <t>agent</t>
        </is>
      </c>
      <c r="P88" t="inlineStr">
        <is>
          <t>mass</t>
        </is>
      </c>
      <c r="Q88" t="inlineStr">
        <is>
          <t>no</t>
        </is>
      </c>
      <c r="R88" t="n">
        <v>1</v>
      </c>
      <c r="T88" t="inlineStr">
        <is>
          <t>https://www.instagram.com/pqftl_official/p/DcaX5R-CNB3/</t>
        </is>
      </c>
      <c r="U88" t="inlineStr">
        <is>
          <t>claude</t>
        </is>
      </c>
      <c r="V88" t="inlineStr">
        <is>
          <t>'RETIREMENT DESERVES CERTAINTY - LIFETIME KAFALAT PLAN. A guaranteed halal pension for life.' Closest competitor claim to a guarantee. [img: media/pqftl_official/DcaX5R-CNB3.jpg]</t>
        </is>
      </c>
    </row>
    <row r="89">
      <c r="A89">
        <f>IF(B89="","",ROW()-1)</f>
        <v/>
      </c>
      <c r="B89" t="inlineStr">
        <is>
          <t>Pak-Qatar Family Takaful</t>
        </is>
      </c>
      <c r="C89">
        <f>IFERROR(VLOOKUP(B89,Brands!$A:$B,2,FALSE),"")</f>
        <v/>
      </c>
      <c r="D89" t="inlineStr">
        <is>
          <t>meta</t>
        </is>
      </c>
      <c r="E89" t="inlineStr"/>
      <c r="F89" t="inlineStr">
        <is>
          <t>2026-08-27</t>
        </is>
      </c>
      <c r="G89" t="inlineStr">
        <is>
          <t>static</t>
        </is>
      </c>
      <c r="I89" t="inlineStr">
        <is>
          <t>mixed</t>
        </is>
      </c>
      <c r="J89" t="inlineStr">
        <is>
          <t>savings_investment</t>
        </is>
      </c>
      <c r="K89" t="inlineStr">
        <is>
          <t>savings_return</t>
        </is>
      </c>
      <c r="L89" t="inlineStr">
        <is>
          <t>faith_compliance</t>
        </is>
      </c>
      <c r="M89" t="inlineStr">
        <is>
          <t>aspiration</t>
        </is>
      </c>
      <c r="N89" t="inlineStr">
        <is>
          <t>ratings_awards</t>
        </is>
      </c>
      <c r="O89" t="inlineStr">
        <is>
          <t>agent</t>
        </is>
      </c>
      <c r="P89" t="inlineStr">
        <is>
          <t>mass</t>
        </is>
      </c>
      <c r="Q89" t="inlineStr">
        <is>
          <t>no</t>
        </is>
      </c>
      <c r="R89" t="n">
        <v>1</v>
      </c>
      <c r="T89" t="inlineStr">
        <is>
          <t>https://www.instagram.com/pqftl_official/p/DcQs_BUjKCa/</t>
        </is>
      </c>
      <c r="U89" t="inlineStr">
        <is>
          <t>claude</t>
        </is>
      </c>
      <c r="V89" t="inlineStr">
        <is>
          <t>'SMALL STEPS. BIG FUTURE.' Mahana Bachat, monthly halal profit. [img: media/pqftl_official/DcQs_BUjKCa.jpg]</t>
        </is>
      </c>
    </row>
    <row r="90">
      <c r="A90">
        <f>IF(B90="","",ROW()-1)</f>
        <v/>
      </c>
      <c r="B90" t="inlineStr">
        <is>
          <t>Pak-Qatar Family Takaful</t>
        </is>
      </c>
      <c r="C90">
        <f>IFERROR(VLOOKUP(B90,Brands!$A:$B,2,FALSE),"")</f>
        <v/>
      </c>
      <c r="D90" t="inlineStr">
        <is>
          <t>meta</t>
        </is>
      </c>
      <c r="E90" t="inlineStr"/>
      <c r="F90" t="inlineStr">
        <is>
          <t>2026-08-27</t>
        </is>
      </c>
      <c r="G90" t="inlineStr">
        <is>
          <t>static</t>
        </is>
      </c>
      <c r="I90" t="inlineStr">
        <is>
          <t>mixed</t>
        </is>
      </c>
      <c r="J90" t="inlineStr">
        <is>
          <t>retirement</t>
        </is>
      </c>
      <c r="K90" t="inlineStr">
        <is>
          <t>retirement</t>
        </is>
      </c>
      <c r="L90" t="inlineStr">
        <is>
          <t>savings_return</t>
        </is>
      </c>
      <c r="M90" t="inlineStr">
        <is>
          <t>aspiration</t>
        </is>
      </c>
      <c r="N90" t="inlineStr">
        <is>
          <t>ratings_awards</t>
        </is>
      </c>
      <c r="O90" t="inlineStr">
        <is>
          <t>agent</t>
        </is>
      </c>
      <c r="P90" t="inlineStr">
        <is>
          <t>sme_corporate</t>
        </is>
      </c>
      <c r="Q90" t="inlineStr">
        <is>
          <t>no</t>
        </is>
      </c>
      <c r="R90" t="n">
        <v>1</v>
      </c>
      <c r="T90" t="inlineStr">
        <is>
          <t>https://www.instagram.com/pqftl_official/p/DcOOz4CjJ_4/</t>
        </is>
      </c>
      <c r="U90" t="inlineStr">
        <is>
          <t>claude</t>
        </is>
      </c>
      <c r="V90" t="inlineStr">
        <is>
          <t>'BUILD TOMORROW FROM TODAY' - Voluntary Pension Scheme, 20% tax credit. [img: media/pqftl_official/DcOOz4CjJ_4.jpg]</t>
        </is>
      </c>
    </row>
    <row r="91">
      <c r="A91">
        <f>IF(B91="","",ROW()-1)</f>
        <v/>
      </c>
      <c r="B91" t="inlineStr">
        <is>
          <t>Pak-Qatar Family Takaful</t>
        </is>
      </c>
      <c r="C91">
        <f>IFERROR(VLOOKUP(B91,Brands!$A:$B,2,FALSE),"")</f>
        <v/>
      </c>
      <c r="D91" t="inlineStr">
        <is>
          <t>meta</t>
        </is>
      </c>
      <c r="E91" t="inlineStr"/>
      <c r="F91" t="inlineStr">
        <is>
          <t>2026-08-27</t>
        </is>
      </c>
      <c r="G91" t="inlineStr">
        <is>
          <t>static</t>
        </is>
      </c>
      <c r="I91" t="inlineStr">
        <is>
          <t>mixed</t>
        </is>
      </c>
      <c r="J91" t="inlineStr">
        <is>
          <t>brand_corporate</t>
        </is>
      </c>
      <c r="K91" t="inlineStr">
        <is>
          <t>brand_corporate</t>
        </is>
      </c>
      <c r="L91" t="inlineStr">
        <is>
          <t>other</t>
        </is>
      </c>
      <c r="M91" t="inlineStr">
        <is>
          <t>pride</t>
        </is>
      </c>
      <c r="N91" t="inlineStr">
        <is>
          <t>expert_authority</t>
        </is>
      </c>
      <c r="O91" t="inlineStr">
        <is>
          <t>none</t>
        </is>
      </c>
      <c r="P91" t="inlineStr">
        <is>
          <t>sme_corporate</t>
        </is>
      </c>
      <c r="Q91" t="inlineStr">
        <is>
          <t>no</t>
        </is>
      </c>
      <c r="R91" t="n">
        <v>1</v>
      </c>
      <c r="T91" t="inlineStr">
        <is>
          <t>https://www.instagram.com/pqftl_official/p/Db-9UNvjBoR/</t>
        </is>
      </c>
      <c r="U91" t="inlineStr">
        <is>
          <t>claude</t>
        </is>
      </c>
      <c r="V91" t="inlineStr">
        <is>
          <t>CEO panellist, ICMA Future of Finance 2026. AA/AM2+ badge. [img: media/pqftl_official/Db-9UNvjBoR.jpg]</t>
        </is>
      </c>
    </row>
    <row r="92">
      <c r="A92">
        <f>IF(B92="","",ROW()-1)</f>
        <v/>
      </c>
      <c r="B92" t="inlineStr">
        <is>
          <t>Pak-Qatar Family Takaful</t>
        </is>
      </c>
      <c r="C92">
        <f>IFERROR(VLOOKUP(B92,Brands!$A:$B,2,FALSE),"")</f>
        <v/>
      </c>
      <c r="D92" t="inlineStr">
        <is>
          <t>meta</t>
        </is>
      </c>
      <c r="E92" t="inlineStr"/>
      <c r="F92" t="inlineStr">
        <is>
          <t>2026-08-27</t>
        </is>
      </c>
      <c r="G92" t="inlineStr">
        <is>
          <t>static</t>
        </is>
      </c>
      <c r="I92" t="inlineStr">
        <is>
          <t>mixed</t>
        </is>
      </c>
      <c r="J92" t="inlineStr">
        <is>
          <t>retirement</t>
        </is>
      </c>
      <c r="K92" t="inlineStr">
        <is>
          <t>national_trust</t>
        </is>
      </c>
      <c r="L92" t="inlineStr">
        <is>
          <t>faith_compliance</t>
        </is>
      </c>
      <c r="M92" t="inlineStr">
        <is>
          <t>pride</t>
        </is>
      </c>
      <c r="N92" t="inlineStr">
        <is>
          <t>sovereign_guarantee</t>
        </is>
      </c>
      <c r="O92" t="inlineStr">
        <is>
          <t>none</t>
        </is>
      </c>
      <c r="P92" t="inlineStr">
        <is>
          <t>sme_corporate</t>
        </is>
      </c>
      <c r="Q92" t="inlineStr">
        <is>
          <t>no</t>
        </is>
      </c>
      <c r="R92" t="n">
        <v>1</v>
      </c>
      <c r="T92" t="inlineStr">
        <is>
          <t>https://www.instagram.com/pqftl_official/p/Db5B8ZcDDwK/</t>
        </is>
      </c>
      <c r="U92" t="inlineStr">
        <is>
          <t>claude</t>
        </is>
      </c>
      <c r="V92" t="inlineStr">
        <is>
          <t>Appointed by Federal Government as Authorized Pension Fund Manager. Strongest state-linked claim by a private player. [img: media/pqftl_official/Db5B8ZcDDwK.jpg]</t>
        </is>
      </c>
    </row>
    <row r="93">
      <c r="A93">
        <f>IF(B93="","",ROW()-1)</f>
        <v/>
      </c>
      <c r="B93" t="inlineStr">
        <is>
          <t>Pak-Qatar Family Takaful</t>
        </is>
      </c>
      <c r="C93">
        <f>IFERROR(VLOOKUP(B93,Brands!$A:$B,2,FALSE),"")</f>
        <v/>
      </c>
      <c r="D93" t="inlineStr">
        <is>
          <t>meta</t>
        </is>
      </c>
      <c r="E93" t="inlineStr"/>
      <c r="F93" t="inlineStr">
        <is>
          <t>2026-08-27</t>
        </is>
      </c>
      <c r="G93" t="inlineStr">
        <is>
          <t>video</t>
        </is>
      </c>
      <c r="I93" t="inlineStr">
        <is>
          <t>mixed</t>
        </is>
      </c>
      <c r="J93" t="inlineStr">
        <is>
          <t>brand_corporate</t>
        </is>
      </c>
      <c r="K93" t="inlineStr">
        <is>
          <t>other</t>
        </is>
      </c>
      <c r="L93" t="inlineStr">
        <is>
          <t>other</t>
        </is>
      </c>
      <c r="M93" t="inlineStr">
        <is>
          <t>reassurance</t>
        </is>
      </c>
      <c r="N93" t="inlineStr">
        <is>
          <t>ratings_awards</t>
        </is>
      </c>
      <c r="O93" t="inlineStr">
        <is>
          <t>none</t>
        </is>
      </c>
      <c r="P93" t="inlineStr">
        <is>
          <t>mass</t>
        </is>
      </c>
      <c r="Q93" t="inlineStr">
        <is>
          <t>no</t>
        </is>
      </c>
      <c r="R93" t="n">
        <v>1</v>
      </c>
      <c r="T93" t="inlineStr">
        <is>
          <t>https://www.instagram.com/pqftl_official/reel/DbvX7bhPajD/</t>
        </is>
      </c>
      <c r="U93" t="inlineStr">
        <is>
          <t>claude</t>
        </is>
      </c>
      <c r="V93" t="inlineStr">
        <is>
          <t>Near-blank creative; not readable. [img: media/pqftl_official/DbvX7bhPajD.jpg]</t>
        </is>
      </c>
    </row>
    <row r="94">
      <c r="A94">
        <f>IF(B94="","",ROW()-1)</f>
        <v/>
      </c>
      <c r="B94" t="inlineStr">
        <is>
          <t>Pak-Qatar Family Takaful</t>
        </is>
      </c>
      <c r="C94">
        <f>IFERROR(VLOOKUP(B94,Brands!$A:$B,2,FALSE),"")</f>
        <v/>
      </c>
      <c r="D94" t="inlineStr">
        <is>
          <t>meta</t>
        </is>
      </c>
      <c r="E94" t="inlineStr"/>
      <c r="F94" t="inlineStr">
        <is>
          <t>2026-08-27</t>
        </is>
      </c>
      <c r="G94" t="inlineStr">
        <is>
          <t>static</t>
        </is>
      </c>
      <c r="I94" t="inlineStr">
        <is>
          <t>mixed</t>
        </is>
      </c>
      <c r="J94" t="inlineStr">
        <is>
          <t>health</t>
        </is>
      </c>
      <c r="K94" t="inlineStr">
        <is>
          <t>other</t>
        </is>
      </c>
      <c r="L94" t="inlineStr">
        <is>
          <t>other</t>
        </is>
      </c>
      <c r="M94" t="inlineStr">
        <is>
          <t>duty</t>
        </is>
      </c>
      <c r="N94" t="inlineStr">
        <is>
          <t>expert_authority</t>
        </is>
      </c>
      <c r="O94" t="inlineStr">
        <is>
          <t>none</t>
        </is>
      </c>
      <c r="P94" t="inlineStr">
        <is>
          <t>mass</t>
        </is>
      </c>
      <c r="Q94" t="inlineStr">
        <is>
          <t>no</t>
        </is>
      </c>
      <c r="R94" t="n">
        <v>1</v>
      </c>
      <c r="T94" t="inlineStr">
        <is>
          <t>https://www.instagram.com/pqftl_official/p/DbUy7M5DMow/</t>
        </is>
      </c>
      <c r="U94" t="inlineStr">
        <is>
          <t>claude</t>
        </is>
      </c>
      <c r="V94" t="inlineStr">
        <is>
          <t>World Hepatitis Day - 'the silent disease needs a loud voice'. CSR. [img: media/pqftl_official/DbUy7M5DMow.jpg]</t>
        </is>
      </c>
    </row>
    <row r="95">
      <c r="A95">
        <f>IF(B95="","",ROW()-1)</f>
        <v/>
      </c>
      <c r="B95" t="inlineStr">
        <is>
          <t>Pak-Qatar Family Takaful</t>
        </is>
      </c>
      <c r="C95">
        <f>IFERROR(VLOOKUP(B95,Brands!$A:$B,2,FALSE),"")</f>
        <v/>
      </c>
      <c r="D95" t="inlineStr">
        <is>
          <t>meta</t>
        </is>
      </c>
      <c r="E95" t="inlineStr"/>
      <c r="F95" t="inlineStr">
        <is>
          <t>2026-08-27</t>
        </is>
      </c>
      <c r="G95" t="inlineStr">
        <is>
          <t>video</t>
        </is>
      </c>
      <c r="I95" t="inlineStr">
        <is>
          <t>mixed</t>
        </is>
      </c>
      <c r="J95" t="inlineStr">
        <is>
          <t>individual_life</t>
        </is>
      </c>
      <c r="K95" t="inlineStr">
        <is>
          <t>other</t>
        </is>
      </c>
      <c r="L95" t="inlineStr">
        <is>
          <t>other</t>
        </is>
      </c>
      <c r="M95" t="inlineStr">
        <is>
          <t>reassurance</t>
        </is>
      </c>
      <c r="N95" t="inlineStr">
        <is>
          <t>ratings_awards</t>
        </is>
      </c>
      <c r="O95" t="inlineStr">
        <is>
          <t>none</t>
        </is>
      </c>
      <c r="P95" t="inlineStr">
        <is>
          <t>mass</t>
        </is>
      </c>
      <c r="Q95" t="inlineStr">
        <is>
          <t>no</t>
        </is>
      </c>
      <c r="R95" t="n">
        <v>1</v>
      </c>
      <c r="T95" t="inlineStr">
        <is>
          <t>https://www.instagram.com/pqftl_official/reel/DbKhUFcPC8Z/</t>
        </is>
      </c>
      <c r="U95" t="inlineStr">
        <is>
          <t>claude</t>
        </is>
      </c>
      <c r="V95" t="inlineStr">
        <is>
          <t>Man in interior, message not readable at thumbnail size. [img: media/pqftl_official/DbKhUFcPC8Z.jpg]</t>
        </is>
      </c>
    </row>
    <row r="96">
      <c r="A96">
        <f>IF(B96="","",ROW()-1)</f>
        <v/>
      </c>
      <c r="B96" t="inlineStr">
        <is>
          <t>Pak-Qatar Family Takaful</t>
        </is>
      </c>
      <c r="C96">
        <f>IFERROR(VLOOKUP(B96,Brands!$A:$B,2,FALSE),"")</f>
        <v/>
      </c>
      <c r="D96" t="inlineStr">
        <is>
          <t>meta</t>
        </is>
      </c>
      <c r="E96" t="inlineStr"/>
      <c r="F96" t="inlineStr">
        <is>
          <t>2026-08-27</t>
        </is>
      </c>
      <c r="G96" t="inlineStr">
        <is>
          <t>static</t>
        </is>
      </c>
      <c r="I96" t="inlineStr">
        <is>
          <t>mixed</t>
        </is>
      </c>
      <c r="J96" t="inlineStr">
        <is>
          <t>brand_corporate</t>
        </is>
      </c>
      <c r="K96" t="inlineStr">
        <is>
          <t>brand_corporate</t>
        </is>
      </c>
      <c r="L96" t="inlineStr">
        <is>
          <t>other</t>
        </is>
      </c>
      <c r="M96" t="inlineStr">
        <is>
          <t>pride</t>
        </is>
      </c>
      <c r="N96" t="inlineStr">
        <is>
          <t>ratings_awards</t>
        </is>
      </c>
      <c r="O96" t="inlineStr">
        <is>
          <t>none</t>
        </is>
      </c>
      <c r="P96" t="inlineStr">
        <is>
          <t>sme_corporate</t>
        </is>
      </c>
      <c r="Q96" t="inlineStr">
        <is>
          <t>no</t>
        </is>
      </c>
      <c r="R96" t="n">
        <v>1</v>
      </c>
      <c r="T96" t="inlineStr">
        <is>
          <t>https://www.instagram.com/pqftl_official/p/DbDTAzQDIBc/</t>
        </is>
      </c>
      <c r="U96" t="inlineStr">
        <is>
          <t>claude</t>
        </is>
      </c>
      <c r="V96" t="inlineStr">
        <is>
          <t>Best Bancatakaful Award, IAP-PSOA conference. [img: media/pqftl_official/DbDTAzQDIBc.jpg]</t>
        </is>
      </c>
    </row>
    <row r="97">
      <c r="A97">
        <f>IF(B97="","",ROW()-1)</f>
        <v/>
      </c>
      <c r="B97" t="inlineStr">
        <is>
          <t>Pak-Qatar Family Takaful</t>
        </is>
      </c>
      <c r="C97">
        <f>IFERROR(VLOOKUP(B97,Brands!$A:$B,2,FALSE),"")</f>
        <v/>
      </c>
      <c r="D97" t="inlineStr">
        <is>
          <t>meta</t>
        </is>
      </c>
      <c r="E97" t="inlineStr"/>
      <c r="F97" t="inlineStr">
        <is>
          <t>2026-08-27</t>
        </is>
      </c>
      <c r="G97" t="inlineStr">
        <is>
          <t>static</t>
        </is>
      </c>
      <c r="I97" t="inlineStr">
        <is>
          <t>mixed</t>
        </is>
      </c>
      <c r="J97" t="inlineStr">
        <is>
          <t>savings_investment</t>
        </is>
      </c>
      <c r="K97" t="inlineStr">
        <is>
          <t>savings_return</t>
        </is>
      </c>
      <c r="L97" t="inlineStr">
        <is>
          <t>faith_compliance</t>
        </is>
      </c>
      <c r="M97" t="inlineStr">
        <is>
          <t>aspiration</t>
        </is>
      </c>
      <c r="N97" t="inlineStr">
        <is>
          <t>ratings_awards</t>
        </is>
      </c>
      <c r="O97" t="inlineStr">
        <is>
          <t>digital_direct</t>
        </is>
      </c>
      <c r="P97" t="inlineStr">
        <is>
          <t>mass</t>
        </is>
      </c>
      <c r="Q97" t="inlineStr">
        <is>
          <t>no</t>
        </is>
      </c>
      <c r="R97" t="n">
        <v>1</v>
      </c>
      <c r="T97" t="inlineStr">
        <is>
          <t>https://www.instagram.com/pqftl_official/p/DbAYGZ1DF0h/</t>
        </is>
      </c>
      <c r="U97" t="inlineStr">
        <is>
          <t>claude</t>
        </is>
      </c>
      <c r="V97" t="inlineStr">
        <is>
          <t>'THE SECOND PAYCHEQUE' - Mahana Bachat &amp; Takaful Flexi Plan. [img: media/pqftl_official/DbAYGZ1DF0h.jpg]</t>
        </is>
      </c>
    </row>
    <row r="98">
      <c r="A98">
        <f>IF(B98="","",ROW()-1)</f>
        <v/>
      </c>
      <c r="B98" t="inlineStr">
        <is>
          <t>Dawood Family Takaful</t>
        </is>
      </c>
      <c r="C98">
        <f>IFERROR(VLOOKUP(B98,Brands!$A:$B,2,FALSE),"")</f>
        <v/>
      </c>
      <c r="D98" t="inlineStr">
        <is>
          <t>meta</t>
        </is>
      </c>
      <c r="E98" t="inlineStr"/>
      <c r="F98" t="inlineStr">
        <is>
          <t>2026-08-27</t>
        </is>
      </c>
      <c r="G98" t="inlineStr">
        <is>
          <t>static</t>
        </is>
      </c>
      <c r="I98" t="inlineStr">
        <is>
          <t>mixed</t>
        </is>
      </c>
      <c r="J98" t="inlineStr">
        <is>
          <t>unclear</t>
        </is>
      </c>
      <c r="K98" t="inlineStr">
        <is>
          <t>other</t>
        </is>
      </c>
      <c r="L98" t="inlineStr">
        <is>
          <t>other</t>
        </is>
      </c>
      <c r="M98" t="inlineStr">
        <is>
          <t>reassurance</t>
        </is>
      </c>
      <c r="N98" t="inlineStr">
        <is>
          <t>none</t>
        </is>
      </c>
      <c r="O98" t="inlineStr">
        <is>
          <t>none</t>
        </is>
      </c>
      <c r="P98" t="inlineStr">
        <is>
          <t>mass</t>
        </is>
      </c>
      <c r="Q98" t="inlineStr">
        <is>
          <t>no</t>
        </is>
      </c>
      <c r="R98" t="n">
        <v>1</v>
      </c>
      <c r="T98" t="inlineStr">
        <is>
          <t>https://www.instagram.com/dawoodfamilytakafulofficial/p/DKg6sGpNq_k/</t>
        </is>
      </c>
      <c r="U98" t="inlineStr">
        <is>
          <t>claude</t>
        </is>
      </c>
      <c r="V98" t="inlineStr">
        <is>
          <t>NOT YET CODED - open the full-size file in media/ and code it. [img: media/dawoodfamilytakafulofficial/DKg6sGpNq_k.jpg]</t>
        </is>
      </c>
    </row>
    <row r="99">
      <c r="A99">
        <f>IF(B99="","",ROW()-1)</f>
        <v/>
      </c>
      <c r="B99" t="inlineStr">
        <is>
          <t>Dawood Family Takaful</t>
        </is>
      </c>
      <c r="C99">
        <f>IFERROR(VLOOKUP(B99,Brands!$A:$B,2,FALSE),"")</f>
        <v/>
      </c>
      <c r="D99" t="inlineStr">
        <is>
          <t>meta</t>
        </is>
      </c>
      <c r="E99" t="inlineStr"/>
      <c r="F99" t="inlineStr">
        <is>
          <t>2026-08-27</t>
        </is>
      </c>
      <c r="G99" t="inlineStr">
        <is>
          <t>static</t>
        </is>
      </c>
      <c r="I99" t="inlineStr">
        <is>
          <t>mixed</t>
        </is>
      </c>
      <c r="J99" t="inlineStr">
        <is>
          <t>takaful</t>
        </is>
      </c>
      <c r="K99" t="inlineStr">
        <is>
          <t>protection</t>
        </is>
      </c>
      <c r="L99" t="inlineStr">
        <is>
          <t>faith_compliance</t>
        </is>
      </c>
      <c r="M99" t="inlineStr">
        <is>
          <t>reassurance</t>
        </is>
      </c>
      <c r="N99" t="inlineStr">
        <is>
          <t>none</t>
        </is>
      </c>
      <c r="O99" t="inlineStr">
        <is>
          <t>none</t>
        </is>
      </c>
      <c r="P99" t="inlineStr">
        <is>
          <t>mass</t>
        </is>
      </c>
      <c r="Q99" t="inlineStr">
        <is>
          <t>yes</t>
        </is>
      </c>
      <c r="R99" t="n">
        <v>1</v>
      </c>
      <c r="T99" t="inlineStr">
        <is>
          <t>https://www.instagram.com/dawoodfamilytakafulofficial/p/DKcJknbtstL/</t>
        </is>
      </c>
      <c r="U99" t="inlineStr">
        <is>
          <t>claude</t>
        </is>
      </c>
      <c r="V99" t="inlineStr">
        <is>
          <t>'TAKAFUL COVERS MORE THAN YOU THINK - it's a full-circle protection'. Category education. [img: media/dawoodfamilytakafulofficial/DKcJknbtstL.jpg]</t>
        </is>
      </c>
    </row>
    <row r="100">
      <c r="A100">
        <f>IF(B100="","",ROW()-1)</f>
        <v/>
      </c>
      <c r="B100" t="inlineStr">
        <is>
          <t>Dawood Family Takaful</t>
        </is>
      </c>
      <c r="C100">
        <f>IFERROR(VLOOKUP(B100,Brands!$A:$B,2,FALSE),"")</f>
        <v/>
      </c>
      <c r="D100" t="inlineStr">
        <is>
          <t>meta</t>
        </is>
      </c>
      <c r="E100" t="inlineStr"/>
      <c r="F100" t="inlineStr">
        <is>
          <t>2026-08-27</t>
        </is>
      </c>
      <c r="G100" t="inlineStr">
        <is>
          <t>static</t>
        </is>
      </c>
      <c r="I100" t="inlineStr">
        <is>
          <t>mixed</t>
        </is>
      </c>
      <c r="J100" t="inlineStr">
        <is>
          <t>unclear</t>
        </is>
      </c>
      <c r="K100" t="inlineStr">
        <is>
          <t>other</t>
        </is>
      </c>
      <c r="L100" t="inlineStr">
        <is>
          <t>other</t>
        </is>
      </c>
      <c r="M100" t="inlineStr">
        <is>
          <t>reassurance</t>
        </is>
      </c>
      <c r="N100" t="inlineStr">
        <is>
          <t>none</t>
        </is>
      </c>
      <c r="O100" t="inlineStr">
        <is>
          <t>none</t>
        </is>
      </c>
      <c r="P100" t="inlineStr">
        <is>
          <t>mass</t>
        </is>
      </c>
      <c r="Q100" t="inlineStr">
        <is>
          <t>no</t>
        </is>
      </c>
      <c r="R100" t="n">
        <v>1</v>
      </c>
      <c r="T100" t="inlineStr">
        <is>
          <t>https://www.instagram.com/dawoodfamilytakafulofficial/p/DKUmrwSOwIY/</t>
        </is>
      </c>
      <c r="U100" t="inlineStr">
        <is>
          <t>claude</t>
        </is>
      </c>
      <c r="V100" t="inlineStr">
        <is>
          <t>NOT YET CODED - open the full-size file in media/ and code it. [img: media/dawoodfamilytakafulofficial/DKUmrwSOwIY.jpg]</t>
        </is>
      </c>
    </row>
    <row r="101">
      <c r="A101">
        <f>IF(B101="","",ROW()-1)</f>
        <v/>
      </c>
      <c r="B101" t="inlineStr">
        <is>
          <t>Dawood Family Takaful</t>
        </is>
      </c>
      <c r="C101">
        <f>IFERROR(VLOOKUP(B101,Brands!$A:$B,2,FALSE),"")</f>
        <v/>
      </c>
      <c r="D101" t="inlineStr">
        <is>
          <t>meta</t>
        </is>
      </c>
      <c r="E101" t="inlineStr"/>
      <c r="F101" t="inlineStr">
        <is>
          <t>2026-08-27</t>
        </is>
      </c>
      <c r="G101" t="inlineStr">
        <is>
          <t>static</t>
        </is>
      </c>
      <c r="I101" t="inlineStr">
        <is>
          <t>mixed</t>
        </is>
      </c>
      <c r="J101" t="inlineStr">
        <is>
          <t>unclear</t>
        </is>
      </c>
      <c r="K101" t="inlineStr">
        <is>
          <t>other</t>
        </is>
      </c>
      <c r="L101" t="inlineStr">
        <is>
          <t>other</t>
        </is>
      </c>
      <c r="M101" t="inlineStr">
        <is>
          <t>reassurance</t>
        </is>
      </c>
      <c r="N101" t="inlineStr">
        <is>
          <t>none</t>
        </is>
      </c>
      <c r="O101" t="inlineStr">
        <is>
          <t>none</t>
        </is>
      </c>
      <c r="P101" t="inlineStr">
        <is>
          <t>mass</t>
        </is>
      </c>
      <c r="Q101" t="inlineStr">
        <is>
          <t>no</t>
        </is>
      </c>
      <c r="R101" t="n">
        <v>1</v>
      </c>
      <c r="T101" t="inlineStr">
        <is>
          <t>https://www.instagram.com/dawoodfamilytakafulofficial/p/DKRI67-tiN4/</t>
        </is>
      </c>
      <c r="U101" t="inlineStr">
        <is>
          <t>claude</t>
        </is>
      </c>
      <c r="V101" t="inlineStr">
        <is>
          <t>NOT YET CODED - open the full-size file in media/ and code it. [img: media/dawoodfamilytakafulofficial/DKRI67-tiN4.jpg]</t>
        </is>
      </c>
    </row>
    <row r="102">
      <c r="A102">
        <f>IF(B102="","",ROW()-1)</f>
        <v/>
      </c>
      <c r="B102" t="inlineStr">
        <is>
          <t>Dawood Family Takaful</t>
        </is>
      </c>
      <c r="C102">
        <f>IFERROR(VLOOKUP(B102,Brands!$A:$B,2,FALSE),"")</f>
        <v/>
      </c>
      <c r="D102" t="inlineStr">
        <is>
          <t>meta</t>
        </is>
      </c>
      <c r="E102" t="inlineStr"/>
      <c r="F102" t="inlineStr">
        <is>
          <t>2026-08-27</t>
        </is>
      </c>
      <c r="G102" t="inlineStr">
        <is>
          <t>static</t>
        </is>
      </c>
      <c r="I102" t="inlineStr">
        <is>
          <t>mixed</t>
        </is>
      </c>
      <c r="J102" t="inlineStr">
        <is>
          <t>brand_corporate</t>
        </is>
      </c>
      <c r="K102" t="inlineStr">
        <is>
          <t>national_trust</t>
        </is>
      </c>
      <c r="L102" t="inlineStr">
        <is>
          <t>other</t>
        </is>
      </c>
      <c r="M102" t="inlineStr">
        <is>
          <t>pride</t>
        </is>
      </c>
      <c r="N102" t="inlineStr">
        <is>
          <t>none</t>
        </is>
      </c>
      <c r="O102" t="inlineStr">
        <is>
          <t>none</t>
        </is>
      </c>
      <c r="P102" t="inlineStr">
        <is>
          <t>mass</t>
        </is>
      </c>
      <c r="Q102" t="inlineStr">
        <is>
          <t>no</t>
        </is>
      </c>
      <c r="R102" t="n">
        <v>1</v>
      </c>
      <c r="T102" t="inlineStr">
        <is>
          <t>https://www.instagram.com/dawoodfamilytakafulofficial/p/DKLt2M6v0Dc/</t>
        </is>
      </c>
      <c r="U102" t="inlineStr">
        <is>
          <t>claude</t>
        </is>
      </c>
      <c r="V102" t="inlineStr">
        <is>
          <t>Youm-e-Takbeer, 28 May 1998. [img: media/dawoodfamilytakafulofficial/DKLt2M6v0Dc.jpg]</t>
        </is>
      </c>
    </row>
    <row r="103">
      <c r="A103">
        <f>IF(B103="","",ROW()-1)</f>
        <v/>
      </c>
      <c r="B103" t="inlineStr">
        <is>
          <t>Dawood Family Takaful</t>
        </is>
      </c>
      <c r="C103">
        <f>IFERROR(VLOOKUP(B103,Brands!$A:$B,2,FALSE),"")</f>
        <v/>
      </c>
      <c r="D103" t="inlineStr">
        <is>
          <t>meta</t>
        </is>
      </c>
      <c r="E103" t="inlineStr"/>
      <c r="F103" t="inlineStr">
        <is>
          <t>2026-08-27</t>
        </is>
      </c>
      <c r="G103" t="inlineStr">
        <is>
          <t>static</t>
        </is>
      </c>
      <c r="I103" t="inlineStr">
        <is>
          <t>mixed</t>
        </is>
      </c>
      <c r="J103" t="inlineStr">
        <is>
          <t>unclear</t>
        </is>
      </c>
      <c r="K103" t="inlineStr">
        <is>
          <t>other</t>
        </is>
      </c>
      <c r="L103" t="inlineStr">
        <is>
          <t>other</t>
        </is>
      </c>
      <c r="M103" t="inlineStr">
        <is>
          <t>reassurance</t>
        </is>
      </c>
      <c r="N103" t="inlineStr">
        <is>
          <t>none</t>
        </is>
      </c>
      <c r="O103" t="inlineStr">
        <is>
          <t>none</t>
        </is>
      </c>
      <c r="P103" t="inlineStr">
        <is>
          <t>mass</t>
        </is>
      </c>
      <c r="Q103" t="inlineStr">
        <is>
          <t>no</t>
        </is>
      </c>
      <c r="R103" t="n">
        <v>1</v>
      </c>
      <c r="T103" t="inlineStr">
        <is>
          <t>https://www.instagram.com/dawoodfamilytakafulofficial/p/DKHIC7_tjkx/</t>
        </is>
      </c>
      <c r="U103" t="inlineStr">
        <is>
          <t>claude</t>
        </is>
      </c>
      <c r="V103" t="inlineStr">
        <is>
          <t>NOT YET CODED - open the full-size file in media/ and code it. [img: media/dawoodfamilytakafulofficial/DKHIC7_tjkx.jpg]</t>
        </is>
      </c>
    </row>
    <row r="104">
      <c r="A104">
        <f>IF(B104="","",ROW()-1)</f>
        <v/>
      </c>
      <c r="B104" t="inlineStr">
        <is>
          <t>Dawood Family Takaful</t>
        </is>
      </c>
      <c r="C104">
        <f>IFERROR(VLOOKUP(B104,Brands!$A:$B,2,FALSE),"")</f>
        <v/>
      </c>
      <c r="D104" t="inlineStr">
        <is>
          <t>meta</t>
        </is>
      </c>
      <c r="E104" t="inlineStr"/>
      <c r="F104" t="inlineStr">
        <is>
          <t>2026-08-27</t>
        </is>
      </c>
      <c r="G104" t="inlineStr">
        <is>
          <t>static</t>
        </is>
      </c>
      <c r="I104" t="inlineStr">
        <is>
          <t>mixed</t>
        </is>
      </c>
      <c r="J104" t="inlineStr">
        <is>
          <t>takaful</t>
        </is>
      </c>
      <c r="K104" t="inlineStr">
        <is>
          <t>faith_compliance</t>
        </is>
      </c>
      <c r="L104" t="inlineStr">
        <is>
          <t>other</t>
        </is>
      </c>
      <c r="M104" t="inlineStr">
        <is>
          <t>duty</t>
        </is>
      </c>
      <c r="N104" t="inlineStr">
        <is>
          <t>none</t>
        </is>
      </c>
      <c r="O104" t="inlineStr">
        <is>
          <t>none</t>
        </is>
      </c>
      <c r="P104" t="inlineStr">
        <is>
          <t>mass</t>
        </is>
      </c>
      <c r="Q104" t="inlineStr">
        <is>
          <t>yes</t>
        </is>
      </c>
      <c r="R104" t="n">
        <v>1</v>
      </c>
      <c r="T104" t="inlineStr">
        <is>
          <t>https://www.instagram.com/dawoodfamilytakafulofficial/p/DJ_kjMmtmkh/</t>
        </is>
      </c>
      <c r="U104" t="inlineStr">
        <is>
          <t>claude</t>
        </is>
      </c>
      <c r="V104" t="inlineStr">
        <is>
          <t>'Takaful or Insurance? CHOOSE THE HALAL WAY!' Direct faith objection handling. [img: media/dawoodfamilytakafulofficial/DJ_kjMmtmkh.jpg]</t>
        </is>
      </c>
    </row>
    <row r="105">
      <c r="A105">
        <f>IF(B105="","",ROW()-1)</f>
        <v/>
      </c>
      <c r="B105" t="inlineStr">
        <is>
          <t>Dawood Family Takaful</t>
        </is>
      </c>
      <c r="C105">
        <f>IFERROR(VLOOKUP(B105,Brands!$A:$B,2,FALSE),"")</f>
        <v/>
      </c>
      <c r="D105" t="inlineStr">
        <is>
          <t>meta</t>
        </is>
      </c>
      <c r="E105" t="inlineStr"/>
      <c r="F105" t="inlineStr">
        <is>
          <t>2026-08-27</t>
        </is>
      </c>
      <c r="G105" t="inlineStr">
        <is>
          <t>static</t>
        </is>
      </c>
      <c r="I105" t="inlineStr">
        <is>
          <t>mixed</t>
        </is>
      </c>
      <c r="J105" t="inlineStr">
        <is>
          <t>brand_corporate</t>
        </is>
      </c>
      <c r="K105" t="inlineStr">
        <is>
          <t>convenience_digital</t>
        </is>
      </c>
      <c r="L105" t="inlineStr">
        <is>
          <t>other</t>
        </is>
      </c>
      <c r="M105" t="inlineStr">
        <is>
          <t>reassurance</t>
        </is>
      </c>
      <c r="N105" t="inlineStr">
        <is>
          <t>none</t>
        </is>
      </c>
      <c r="O105" t="inlineStr">
        <is>
          <t>digital_direct</t>
        </is>
      </c>
      <c r="P105" t="inlineStr">
        <is>
          <t>mass</t>
        </is>
      </c>
      <c r="Q105" t="inlineStr">
        <is>
          <t>no</t>
        </is>
      </c>
      <c r="R105" t="n">
        <v>1</v>
      </c>
      <c r="T105" t="inlineStr">
        <is>
          <t>https://www.instagram.com/dawoodfamilytakafulofficial/p/DJ0_ugxt7-x/</t>
        </is>
      </c>
      <c r="U105" t="inlineStr">
        <is>
          <t>claude</t>
        </is>
      </c>
      <c r="V105" t="inlineStr">
        <is>
          <t>'PAY ONLINE. STAY COVERED.' [img: media/dawoodfamilytakafulofficial/DJ0_ugxt7-x.jpg]</t>
        </is>
      </c>
    </row>
    <row r="106">
      <c r="A106">
        <f>IF(B106="","",ROW()-1)</f>
        <v/>
      </c>
      <c r="B106" t="inlineStr">
        <is>
          <t>Dawood Family Takaful</t>
        </is>
      </c>
      <c r="C106">
        <f>IFERROR(VLOOKUP(B106,Brands!$A:$B,2,FALSE),"")</f>
        <v/>
      </c>
      <c r="D106" t="inlineStr">
        <is>
          <t>meta</t>
        </is>
      </c>
      <c r="E106" t="inlineStr"/>
      <c r="F106" t="inlineStr">
        <is>
          <t>2026-08-27</t>
        </is>
      </c>
      <c r="G106" t="inlineStr">
        <is>
          <t>static</t>
        </is>
      </c>
      <c r="I106" t="inlineStr">
        <is>
          <t>mixed</t>
        </is>
      </c>
      <c r="J106" t="inlineStr">
        <is>
          <t>unclear</t>
        </is>
      </c>
      <c r="K106" t="inlineStr">
        <is>
          <t>other</t>
        </is>
      </c>
      <c r="L106" t="inlineStr">
        <is>
          <t>other</t>
        </is>
      </c>
      <c r="M106" t="inlineStr">
        <is>
          <t>reassurance</t>
        </is>
      </c>
      <c r="N106" t="inlineStr">
        <is>
          <t>none</t>
        </is>
      </c>
      <c r="O106" t="inlineStr">
        <is>
          <t>none</t>
        </is>
      </c>
      <c r="P106" t="inlineStr">
        <is>
          <t>mass</t>
        </is>
      </c>
      <c r="Q106" t="inlineStr">
        <is>
          <t>no</t>
        </is>
      </c>
      <c r="R106" t="n">
        <v>1</v>
      </c>
      <c r="T106" t="inlineStr">
        <is>
          <t>https://www.instagram.com/dawoodfamilytakafulofficial/p/DJqqGDsNdlO/</t>
        </is>
      </c>
      <c r="U106" t="inlineStr">
        <is>
          <t>claude</t>
        </is>
      </c>
      <c r="V106" t="inlineStr">
        <is>
          <t>NOT YET CODED - open the full-size file in media/ and code it. [img: media/dawoodfamilytakafulofficial/DJqqGDsNdlO.jpg]</t>
        </is>
      </c>
    </row>
    <row r="107">
      <c r="A107">
        <f>IF(B107="","",ROW()-1)</f>
        <v/>
      </c>
      <c r="B107" t="inlineStr">
        <is>
          <t>Dawood Family Takaful</t>
        </is>
      </c>
      <c r="C107">
        <f>IFERROR(VLOOKUP(B107,Brands!$A:$B,2,FALSE),"")</f>
        <v/>
      </c>
      <c r="D107" t="inlineStr">
        <is>
          <t>meta</t>
        </is>
      </c>
      <c r="E107" t="inlineStr"/>
      <c r="F107" t="inlineStr">
        <is>
          <t>2026-08-27</t>
        </is>
      </c>
      <c r="G107" t="inlineStr">
        <is>
          <t>static</t>
        </is>
      </c>
      <c r="I107" t="inlineStr">
        <is>
          <t>mixed</t>
        </is>
      </c>
      <c r="J107" t="inlineStr">
        <is>
          <t>unclear</t>
        </is>
      </c>
      <c r="K107" t="inlineStr">
        <is>
          <t>other</t>
        </is>
      </c>
      <c r="L107" t="inlineStr">
        <is>
          <t>other</t>
        </is>
      </c>
      <c r="M107" t="inlineStr">
        <is>
          <t>reassurance</t>
        </is>
      </c>
      <c r="N107" t="inlineStr">
        <is>
          <t>none</t>
        </is>
      </c>
      <c r="O107" t="inlineStr">
        <is>
          <t>none</t>
        </is>
      </c>
      <c r="P107" t="inlineStr">
        <is>
          <t>mass</t>
        </is>
      </c>
      <c r="Q107" t="inlineStr">
        <is>
          <t>no</t>
        </is>
      </c>
      <c r="R107" t="n">
        <v>1</v>
      </c>
      <c r="T107" t="inlineStr">
        <is>
          <t>https://www.instagram.com/dawoodfamilytakafulofficial/p/DJlsQMStTvl/</t>
        </is>
      </c>
      <c r="U107" t="inlineStr">
        <is>
          <t>claude</t>
        </is>
      </c>
      <c r="V107" t="inlineStr">
        <is>
          <t>NOT YET CODED - open the full-size file in media/ and code it. [img: media/dawoodfamilytakafulofficial/DJlsQMStTvl.jpg]</t>
        </is>
      </c>
    </row>
    <row r="108">
      <c r="A108">
        <f>IF(B108="","",ROW()-1)</f>
        <v/>
      </c>
      <c r="B108" t="inlineStr">
        <is>
          <t>Dawood Family Takaful</t>
        </is>
      </c>
      <c r="C108">
        <f>IFERROR(VLOOKUP(B108,Brands!$A:$B,2,FALSE),"")</f>
        <v/>
      </c>
      <c r="D108" t="inlineStr">
        <is>
          <t>meta</t>
        </is>
      </c>
      <c r="E108" t="inlineStr"/>
      <c r="F108" t="inlineStr">
        <is>
          <t>2026-08-27</t>
        </is>
      </c>
      <c r="G108" t="inlineStr">
        <is>
          <t>static</t>
        </is>
      </c>
      <c r="I108" t="inlineStr">
        <is>
          <t>mixed</t>
        </is>
      </c>
      <c r="J108" t="inlineStr">
        <is>
          <t>brand_corporate</t>
        </is>
      </c>
      <c r="K108" t="inlineStr">
        <is>
          <t>faith_compliance</t>
        </is>
      </c>
      <c r="L108" t="inlineStr">
        <is>
          <t>other</t>
        </is>
      </c>
      <c r="M108" t="inlineStr">
        <is>
          <t>reassurance</t>
        </is>
      </c>
      <c r="N108" t="inlineStr">
        <is>
          <t>none</t>
        </is>
      </c>
      <c r="O108" t="inlineStr">
        <is>
          <t>none</t>
        </is>
      </c>
      <c r="P108" t="inlineStr">
        <is>
          <t>mass</t>
        </is>
      </c>
      <c r="Q108" t="inlineStr">
        <is>
          <t>no</t>
        </is>
      </c>
      <c r="R108" t="n">
        <v>1</v>
      </c>
      <c r="T108" t="inlineStr">
        <is>
          <t>https://www.instagram.com/dawoodfamilytakafulofficial/p/DJbGZ9lodTR/</t>
        </is>
      </c>
      <c r="U108" t="inlineStr">
        <is>
          <t>claude</t>
        </is>
      </c>
      <c r="V108" t="inlineStr">
        <is>
          <t>Quranic verse, Muharram. [img: media/dawoodfamilytakafulofficial/DJbGZ9lodTR.jpg]</t>
        </is>
      </c>
    </row>
    <row r="109">
      <c r="A109">
        <f>IF(B109="","",ROW()-1)</f>
        <v/>
      </c>
      <c r="B109" t="inlineStr">
        <is>
          <t>Dawood Family Takaful</t>
        </is>
      </c>
      <c r="C109">
        <f>IFERROR(VLOOKUP(B109,Brands!$A:$B,2,FALSE),"")</f>
        <v/>
      </c>
      <c r="D109" t="inlineStr">
        <is>
          <t>meta</t>
        </is>
      </c>
      <c r="E109" t="inlineStr"/>
      <c r="F109" t="inlineStr">
        <is>
          <t>2026-08-27</t>
        </is>
      </c>
      <c r="G109" t="inlineStr">
        <is>
          <t>static</t>
        </is>
      </c>
      <c r="I109" t="inlineStr">
        <is>
          <t>mixed</t>
        </is>
      </c>
      <c r="J109" t="inlineStr">
        <is>
          <t>brand_corporate</t>
        </is>
      </c>
      <c r="K109" t="inlineStr">
        <is>
          <t>national_trust</t>
        </is>
      </c>
      <c r="L109" t="inlineStr">
        <is>
          <t>other</t>
        </is>
      </c>
      <c r="M109" t="inlineStr">
        <is>
          <t>pride</t>
        </is>
      </c>
      <c r="N109" t="inlineStr">
        <is>
          <t>none</t>
        </is>
      </c>
      <c r="O109" t="inlineStr">
        <is>
          <t>none</t>
        </is>
      </c>
      <c r="P109" t="inlineStr">
        <is>
          <t>mass</t>
        </is>
      </c>
      <c r="Q109" t="inlineStr">
        <is>
          <t>no</t>
        </is>
      </c>
      <c r="R109" t="n">
        <v>1</v>
      </c>
      <c r="T109" t="inlineStr">
        <is>
          <t>https://www.instagram.com/dawoodfamilytakafulofficial/p/DJWnn_7oIze/</t>
        </is>
      </c>
      <c r="U109" t="inlineStr">
        <is>
          <t>claude</t>
        </is>
      </c>
      <c r="V109" t="inlineStr">
        <is>
          <t>Air force / Urdu verse patriotic post. [img: media/dawoodfamilytakafulofficial/DJWnn_7oIze.jpg]</t>
        </is>
      </c>
    </row>
    <row r="110">
      <c r="A110">
        <f>IF(B110="","",ROW()-1)</f>
        <v/>
      </c>
      <c r="B110" t="inlineStr">
        <is>
          <t>EFU Life Window Takaful</t>
        </is>
      </c>
      <c r="C110">
        <f>IFERROR(VLOOKUP(B110,Brands!$A:$B,2,FALSE),"")</f>
        <v/>
      </c>
      <c r="D110" t="inlineStr">
        <is>
          <t>meta</t>
        </is>
      </c>
      <c r="E110" t="inlineStr"/>
      <c r="F110" t="inlineStr">
        <is>
          <t>2026-08-27</t>
        </is>
      </c>
      <c r="G110" t="inlineStr">
        <is>
          <t>static</t>
        </is>
      </c>
      <c r="I110" t="inlineStr">
        <is>
          <t>mixed</t>
        </is>
      </c>
      <c r="J110" t="inlineStr">
        <is>
          <t>health</t>
        </is>
      </c>
      <c r="K110" t="inlineStr">
        <is>
          <t>convenience_digital</t>
        </is>
      </c>
      <c r="L110" t="inlineStr">
        <is>
          <t>other</t>
        </is>
      </c>
      <c r="M110" t="inlineStr">
        <is>
          <t>reassurance</t>
        </is>
      </c>
      <c r="N110" t="inlineStr">
        <is>
          <t>none</t>
        </is>
      </c>
      <c r="O110" t="inlineStr">
        <is>
          <t>digital_direct</t>
        </is>
      </c>
      <c r="P110" t="inlineStr">
        <is>
          <t>sme_corporate</t>
        </is>
      </c>
      <c r="Q110" t="inlineStr">
        <is>
          <t>no</t>
        </is>
      </c>
      <c r="R110" t="n">
        <v>1</v>
      </c>
      <c r="T110" t="inlineStr">
        <is>
          <t>https://www.instagram.com/efu_life_assurance_ltd/p/DcDdjWLjnQY/</t>
        </is>
      </c>
      <c r="U110" t="inlineStr">
        <is>
          <t>claude</t>
        </is>
      </c>
      <c r="V110" t="inlineStr">
        <is>
          <t>'Join EFU Life mHealth - a digital healthcare platform for modern medical consultants'. [img: media/efu_life_assurance_ltd/DcDdjWLjnQY.jpg]</t>
        </is>
      </c>
    </row>
    <row r="111">
      <c r="A111">
        <f>IF(B111="","",ROW()-1)</f>
        <v/>
      </c>
      <c r="B111" t="inlineStr">
        <is>
          <t>EFU Life Window Takaful</t>
        </is>
      </c>
      <c r="C111">
        <f>IFERROR(VLOOKUP(B111,Brands!$A:$B,2,FALSE),"")</f>
        <v/>
      </c>
      <c r="D111" t="inlineStr">
        <is>
          <t>meta</t>
        </is>
      </c>
      <c r="E111" t="inlineStr"/>
      <c r="F111" t="inlineStr">
        <is>
          <t>2026-08-27</t>
        </is>
      </c>
      <c r="G111" t="inlineStr">
        <is>
          <t>video</t>
        </is>
      </c>
      <c r="I111" t="inlineStr">
        <is>
          <t>mixed</t>
        </is>
      </c>
      <c r="J111" t="inlineStr">
        <is>
          <t>brand_corporate</t>
        </is>
      </c>
      <c r="K111" t="inlineStr">
        <is>
          <t>brand_corporate</t>
        </is>
      </c>
      <c r="L111" t="inlineStr">
        <is>
          <t>other</t>
        </is>
      </c>
      <c r="M111" t="inlineStr">
        <is>
          <t>pride</t>
        </is>
      </c>
      <c r="N111" t="inlineStr">
        <is>
          <t>heritage_scale</t>
        </is>
      </c>
      <c r="O111" t="inlineStr">
        <is>
          <t>none</t>
        </is>
      </c>
      <c r="P111" t="inlineStr">
        <is>
          <t>mass</t>
        </is>
      </c>
      <c r="Q111" t="inlineStr">
        <is>
          <t>no</t>
        </is>
      </c>
      <c r="R111" t="n">
        <v>1</v>
      </c>
      <c r="T111" t="inlineStr">
        <is>
          <t>https://www.instagram.com/efu_life_assurance_ltd/reel/DcA0mhrONio/</t>
        </is>
      </c>
      <c r="U111" t="inlineStr">
        <is>
          <t>claude</t>
        </is>
      </c>
      <c r="V111" t="inlineStr">
        <is>
          <t>'Born from a DREAM' - heritage/founding story. [img: media/efu_life_assurance_ltd/DcA0mhrONio.jpg]</t>
        </is>
      </c>
    </row>
    <row r="112">
      <c r="A112">
        <f>IF(B112="","",ROW()-1)</f>
        <v/>
      </c>
      <c r="B112" t="inlineStr">
        <is>
          <t>EFU Life Window Takaful</t>
        </is>
      </c>
      <c r="C112">
        <f>IFERROR(VLOOKUP(B112,Brands!$A:$B,2,FALSE),"")</f>
        <v/>
      </c>
      <c r="D112" t="inlineStr">
        <is>
          <t>meta</t>
        </is>
      </c>
      <c r="E112" t="inlineStr"/>
      <c r="F112" t="inlineStr">
        <is>
          <t>2026-08-27</t>
        </is>
      </c>
      <c r="G112" t="inlineStr">
        <is>
          <t>static</t>
        </is>
      </c>
      <c r="I112" t="inlineStr">
        <is>
          <t>mixed</t>
        </is>
      </c>
      <c r="J112" t="inlineStr">
        <is>
          <t>health</t>
        </is>
      </c>
      <c r="K112" t="inlineStr">
        <is>
          <t>convenience_digital</t>
        </is>
      </c>
      <c r="L112" t="inlineStr">
        <is>
          <t>other</t>
        </is>
      </c>
      <c r="M112" t="inlineStr">
        <is>
          <t>reassurance</t>
        </is>
      </c>
      <c r="N112" t="inlineStr">
        <is>
          <t>none</t>
        </is>
      </c>
      <c r="O112" t="inlineStr">
        <is>
          <t>digital_direct</t>
        </is>
      </c>
      <c r="P112" t="inlineStr">
        <is>
          <t>mass</t>
        </is>
      </c>
      <c r="Q112" t="inlineStr">
        <is>
          <t>no</t>
        </is>
      </c>
      <c r="R112" t="n">
        <v>1</v>
      </c>
      <c r="T112" t="inlineStr">
        <is>
          <t>https://www.instagram.com/efu_life_assurance_ltd/p/DbupP4oM3Md/</t>
        </is>
      </c>
      <c r="U112" t="inlineStr">
        <is>
          <t>claude</t>
        </is>
      </c>
      <c r="V112" t="inlineStr">
        <is>
          <t>'A complete healthcare and wellbeing experience' via EFU Life mHealth. [img: media/efu_life_assurance_ltd/DbupP4oM3Md.jpg]</t>
        </is>
      </c>
    </row>
    <row r="113">
      <c r="A113">
        <f>IF(B113="","",ROW()-1)</f>
        <v/>
      </c>
      <c r="B113" t="inlineStr">
        <is>
          <t>EFU Life Window Takaful</t>
        </is>
      </c>
      <c r="C113">
        <f>IFERROR(VLOOKUP(B113,Brands!$A:$B,2,FALSE),"")</f>
        <v/>
      </c>
      <c r="D113" t="inlineStr">
        <is>
          <t>meta</t>
        </is>
      </c>
      <c r="E113" t="inlineStr"/>
      <c r="F113" t="inlineStr">
        <is>
          <t>2026-08-27</t>
        </is>
      </c>
      <c r="G113" t="inlineStr">
        <is>
          <t>static</t>
        </is>
      </c>
      <c r="I113" t="inlineStr">
        <is>
          <t>mixed</t>
        </is>
      </c>
      <c r="J113" t="inlineStr">
        <is>
          <t>retirement</t>
        </is>
      </c>
      <c r="K113" t="inlineStr">
        <is>
          <t>national_trust</t>
        </is>
      </c>
      <c r="L113" t="inlineStr">
        <is>
          <t>retirement</t>
        </is>
      </c>
      <c r="M113" t="inlineStr">
        <is>
          <t>reassurance</t>
        </is>
      </c>
      <c r="N113" t="inlineStr">
        <is>
          <t>sovereign_guarantee</t>
        </is>
      </c>
      <c r="O113" t="inlineStr">
        <is>
          <t>none</t>
        </is>
      </c>
      <c r="P113" t="inlineStr">
        <is>
          <t>mass</t>
        </is>
      </c>
      <c r="Q113" t="inlineStr">
        <is>
          <t>no</t>
        </is>
      </c>
      <c r="R113" t="n">
        <v>1</v>
      </c>
      <c r="T113" t="inlineStr">
        <is>
          <t>https://www.instagram.com/efu_life_assurance_ltd/p/DbuoyOFsZIx/</t>
        </is>
      </c>
      <c r="U113" t="inlineStr">
        <is>
          <t>claude</t>
        </is>
      </c>
      <c r="V113" t="inlineStr">
        <is>
          <t>'STRENGTHENING PAKISTAN'S RETIREMENT FUTURE WITH GOVERNMENT INITIATIVES' - Federal Hemayah Pension Fund. A private insurer borrowing state association. [img: media/efu_life_assurance_ltd/DbuoyOFsZIx.jpg]</t>
        </is>
      </c>
    </row>
    <row r="114">
      <c r="A114">
        <f>IF(B114="","",ROW()-1)</f>
        <v/>
      </c>
      <c r="B114" t="inlineStr">
        <is>
          <t>EFU Life Window Takaful</t>
        </is>
      </c>
      <c r="C114">
        <f>IFERROR(VLOOKUP(B114,Brands!$A:$B,2,FALSE),"")</f>
        <v/>
      </c>
      <c r="D114" t="inlineStr">
        <is>
          <t>meta</t>
        </is>
      </c>
      <c r="E114" t="inlineStr"/>
      <c r="F114" t="inlineStr">
        <is>
          <t>2026-08-27</t>
        </is>
      </c>
      <c r="G114" t="inlineStr">
        <is>
          <t>static</t>
        </is>
      </c>
      <c r="I114" t="inlineStr">
        <is>
          <t>mixed</t>
        </is>
      </c>
      <c r="J114" t="inlineStr">
        <is>
          <t>brand_corporate</t>
        </is>
      </c>
      <c r="K114" t="inlineStr">
        <is>
          <t>other</t>
        </is>
      </c>
      <c r="L114" t="inlineStr">
        <is>
          <t>other</t>
        </is>
      </c>
      <c r="M114" t="inlineStr">
        <is>
          <t>duty</t>
        </is>
      </c>
      <c r="N114" t="inlineStr">
        <is>
          <t>none</t>
        </is>
      </c>
      <c r="O114" t="inlineStr">
        <is>
          <t>call_centre</t>
        </is>
      </c>
      <c r="P114" t="inlineStr">
        <is>
          <t>mass</t>
        </is>
      </c>
      <c r="Q114" t="inlineStr">
        <is>
          <t>no</t>
        </is>
      </c>
      <c r="R114" t="n">
        <v>1</v>
      </c>
      <c r="T114" t="inlineStr">
        <is>
          <t>https://www.instagram.com/efu_life_assurance_ltd/p/DbM8kFHMcF6/</t>
        </is>
      </c>
      <c r="U114" t="inlineStr">
        <is>
          <t>claude</t>
        </is>
      </c>
      <c r="V114" t="inlineStr">
        <is>
          <t>'HEAVY RAIN ADVISORY - stay safe, stay prepared'. Public-service post. [img: media/efu_life_assurance_ltd/DbM8kFHMcF6.jpg]</t>
        </is>
      </c>
    </row>
    <row r="115">
      <c r="A115">
        <f>IF(B115="","",ROW()-1)</f>
        <v/>
      </c>
      <c r="B115" t="inlineStr">
        <is>
          <t>EFU Life Window Takaful</t>
        </is>
      </c>
      <c r="C115">
        <f>IFERROR(VLOOKUP(B115,Brands!$A:$B,2,FALSE),"")</f>
        <v/>
      </c>
      <c r="D115" t="inlineStr">
        <is>
          <t>meta</t>
        </is>
      </c>
      <c r="E115" t="inlineStr"/>
      <c r="F115" t="inlineStr">
        <is>
          <t>2026-08-27</t>
        </is>
      </c>
      <c r="G115" t="inlineStr">
        <is>
          <t>video</t>
        </is>
      </c>
      <c r="I115" t="inlineStr">
        <is>
          <t>mixed</t>
        </is>
      </c>
      <c r="J115" t="inlineStr">
        <is>
          <t>brand_corporate</t>
        </is>
      </c>
      <c r="K115" t="inlineStr">
        <is>
          <t>convenience_digital</t>
        </is>
      </c>
      <c r="L115" t="inlineStr">
        <is>
          <t>other</t>
        </is>
      </c>
      <c r="M115" t="inlineStr">
        <is>
          <t>reassurance</t>
        </is>
      </c>
      <c r="N115" t="inlineStr">
        <is>
          <t>none</t>
        </is>
      </c>
      <c r="O115" t="inlineStr">
        <is>
          <t>digital_direct</t>
        </is>
      </c>
      <c r="P115" t="inlineStr">
        <is>
          <t>mass</t>
        </is>
      </c>
      <c r="Q115" t="inlineStr">
        <is>
          <t>no</t>
        </is>
      </c>
      <c r="R115" t="n">
        <v>1</v>
      </c>
      <c r="T115" t="inlineStr">
        <is>
          <t>https://www.instagram.com/efu_life_assurance_ltd/reel/Da5c7P7s9ny/</t>
        </is>
      </c>
      <c r="U115" t="inlineStr">
        <is>
          <t>claude</t>
        </is>
      </c>
      <c r="V115" t="inlineStr">
        <is>
          <t>'FAST. EASY. DIGITAL.' Premium payments on WhatsApp. [img: media/efu_life_assurance_ltd/Da5c7P7s9ny.jpg]</t>
        </is>
      </c>
    </row>
    <row r="116">
      <c r="A116">
        <f>IF(B116="","",ROW()-1)</f>
        <v/>
      </c>
      <c r="B116" t="inlineStr">
        <is>
          <t>EFU Life Window Takaful</t>
        </is>
      </c>
      <c r="C116">
        <f>IFERROR(VLOOKUP(B116,Brands!$A:$B,2,FALSE),"")</f>
        <v/>
      </c>
      <c r="D116" t="inlineStr">
        <is>
          <t>meta</t>
        </is>
      </c>
      <c r="E116" t="inlineStr"/>
      <c r="F116" t="inlineStr">
        <is>
          <t>2026-08-27</t>
        </is>
      </c>
      <c r="G116" t="inlineStr">
        <is>
          <t>static</t>
        </is>
      </c>
      <c r="I116" t="inlineStr">
        <is>
          <t>mixed</t>
        </is>
      </c>
      <c r="J116" t="inlineStr">
        <is>
          <t>takaful</t>
        </is>
      </c>
      <c r="K116" t="inlineStr">
        <is>
          <t>faith_compliance</t>
        </is>
      </c>
      <c r="L116" t="inlineStr">
        <is>
          <t>convenience_digital</t>
        </is>
      </c>
      <c r="M116" t="inlineStr">
        <is>
          <t>reassurance</t>
        </is>
      </c>
      <c r="N116" t="inlineStr">
        <is>
          <t>none</t>
        </is>
      </c>
      <c r="O116" t="inlineStr">
        <is>
          <t>none</t>
        </is>
      </c>
      <c r="P116" t="inlineStr">
        <is>
          <t>rural</t>
        </is>
      </c>
      <c r="Q116" t="inlineStr">
        <is>
          <t>no</t>
        </is>
      </c>
      <c r="R116" t="n">
        <v>1</v>
      </c>
      <c r="T116" t="inlineStr">
        <is>
          <t>https://www.instagram.com/efu_life_assurance_ltd/p/Damvw69uB1A/</t>
        </is>
      </c>
      <c r="U116" t="inlineStr">
        <is>
          <t>claude</t>
        </is>
      </c>
      <c r="V116" t="inlineStr">
        <is>
          <t>Hemayah x EFU General x BankIslami - micro &amp; nano takaful. [img: media/efu_life_assurance_ltd/Damvw69uB1A.jpg]</t>
        </is>
      </c>
    </row>
    <row r="117">
      <c r="A117">
        <f>IF(B117="","",ROW()-1)</f>
        <v/>
      </c>
      <c r="B117" t="inlineStr">
        <is>
          <t>EFU Life Window Takaful</t>
        </is>
      </c>
      <c r="C117">
        <f>IFERROR(VLOOKUP(B117,Brands!$A:$B,2,FALSE),"")</f>
        <v/>
      </c>
      <c r="D117" t="inlineStr">
        <is>
          <t>meta</t>
        </is>
      </c>
      <c r="E117" t="inlineStr"/>
      <c r="F117" t="inlineStr">
        <is>
          <t>2026-08-27</t>
        </is>
      </c>
      <c r="G117" t="inlineStr">
        <is>
          <t>static</t>
        </is>
      </c>
      <c r="I117" t="inlineStr">
        <is>
          <t>mixed</t>
        </is>
      </c>
      <c r="J117" t="inlineStr">
        <is>
          <t>brand_corporate</t>
        </is>
      </c>
      <c r="K117" t="inlineStr">
        <is>
          <t>brand_corporate</t>
        </is>
      </c>
      <c r="L117" t="inlineStr">
        <is>
          <t>convenience_digital</t>
        </is>
      </c>
      <c r="M117" t="inlineStr">
        <is>
          <t>pride</t>
        </is>
      </c>
      <c r="N117" t="inlineStr">
        <is>
          <t>expert_authority</t>
        </is>
      </c>
      <c r="O117" t="inlineStr">
        <is>
          <t>none</t>
        </is>
      </c>
      <c r="P117" t="inlineStr">
        <is>
          <t>sme_corporate</t>
        </is>
      </c>
      <c r="Q117" t="inlineStr">
        <is>
          <t>no</t>
        </is>
      </c>
      <c r="R117" t="n">
        <v>1</v>
      </c>
      <c r="T117" t="inlineStr">
        <is>
          <t>https://www.instagram.com/efu_life_assurance_ltd/p/DaK2RcqDMW6/</t>
        </is>
      </c>
      <c r="U117" t="inlineStr">
        <is>
          <t>claude</t>
        </is>
      </c>
      <c r="V117" t="inlineStr">
        <is>
          <t>CEO: 'REDEFINING LEADERSHIP IN INSURANCE... securing the future of millions of Pakistanis'. [img: media/efu_life_assurance_ltd/DaK2RcqDMW6.jpg]</t>
        </is>
      </c>
    </row>
    <row r="118">
      <c r="A118">
        <f>IF(B118="","",ROW()-1)</f>
        <v/>
      </c>
      <c r="B118" t="inlineStr">
        <is>
          <t>EFU Life Window Takaful</t>
        </is>
      </c>
      <c r="C118">
        <f>IFERROR(VLOOKUP(B118,Brands!$A:$B,2,FALSE),"")</f>
        <v/>
      </c>
      <c r="D118" t="inlineStr">
        <is>
          <t>meta</t>
        </is>
      </c>
      <c r="E118" t="inlineStr"/>
      <c r="F118" t="inlineStr">
        <is>
          <t>2026-08-27</t>
        </is>
      </c>
      <c r="G118" t="inlineStr">
        <is>
          <t>static</t>
        </is>
      </c>
      <c r="I118" t="inlineStr">
        <is>
          <t>mixed</t>
        </is>
      </c>
      <c r="J118" t="inlineStr">
        <is>
          <t>takaful</t>
        </is>
      </c>
      <c r="K118" t="inlineStr">
        <is>
          <t>savings_return</t>
        </is>
      </c>
      <c r="L118" t="inlineStr">
        <is>
          <t>faith_compliance</t>
        </is>
      </c>
      <c r="M118" t="inlineStr">
        <is>
          <t>aspiration</t>
        </is>
      </c>
      <c r="N118" t="inlineStr">
        <is>
          <t>none</t>
        </is>
      </c>
      <c r="O118" t="inlineStr">
        <is>
          <t>digital_direct</t>
        </is>
      </c>
      <c r="P118" t="inlineStr">
        <is>
          <t>mass</t>
        </is>
      </c>
      <c r="Q118" t="inlineStr">
        <is>
          <t>no</t>
        </is>
      </c>
      <c r="R118" t="n">
        <v>1</v>
      </c>
      <c r="T118" t="inlineStr">
        <is>
          <t>https://www.instagram.com/efu_life_assurance_ltd/p/DaAcbOdDHuo/</t>
        </is>
      </c>
      <c r="U118" t="inlineStr">
        <is>
          <t>claude</t>
        </is>
      </c>
      <c r="V118" t="inlineStr">
        <is>
          <t>Hemayah: 'Your lifestyle is the result of your hard work. Want to make it last?' [img: media/efu_life_assurance_ltd/DaAcbOdDHuo.jpg]</t>
        </is>
      </c>
    </row>
    <row r="119">
      <c r="A119">
        <f>IF(B119="","",ROW()-1)</f>
        <v/>
      </c>
      <c r="B119" t="inlineStr">
        <is>
          <t>EFU Life Window Takaful</t>
        </is>
      </c>
      <c r="C119">
        <f>IFERROR(VLOOKUP(B119,Brands!$A:$B,2,FALSE),"")</f>
        <v/>
      </c>
      <c r="D119" t="inlineStr">
        <is>
          <t>meta</t>
        </is>
      </c>
      <c r="E119" t="inlineStr"/>
      <c r="F119" t="inlineStr">
        <is>
          <t>2026-08-27</t>
        </is>
      </c>
      <c r="G119" t="inlineStr">
        <is>
          <t>video</t>
        </is>
      </c>
      <c r="I119" t="inlineStr">
        <is>
          <t>mixed</t>
        </is>
      </c>
      <c r="J119" t="inlineStr">
        <is>
          <t>unclear</t>
        </is>
      </c>
      <c r="K119" t="inlineStr">
        <is>
          <t>other</t>
        </is>
      </c>
      <c r="L119" t="inlineStr">
        <is>
          <t>other</t>
        </is>
      </c>
      <c r="M119" t="inlineStr">
        <is>
          <t>reassurance</t>
        </is>
      </c>
      <c r="N119" t="inlineStr">
        <is>
          <t>none</t>
        </is>
      </c>
      <c r="O119" t="inlineStr">
        <is>
          <t>none</t>
        </is>
      </c>
      <c r="P119" t="inlineStr">
        <is>
          <t>mass</t>
        </is>
      </c>
      <c r="Q119" t="inlineStr">
        <is>
          <t>no</t>
        </is>
      </c>
      <c r="R119" t="n">
        <v>1</v>
      </c>
      <c r="T119" t="inlineStr">
        <is>
          <t>https://www.instagram.com/efu_life_assurance_ltd/reel/DaAbyhfsHKW/</t>
        </is>
      </c>
      <c r="U119" t="inlineStr">
        <is>
          <t>claude</t>
        </is>
      </c>
      <c r="V119" t="inlineStr">
        <is>
          <t>Video post, poster frame did not load. [img: media/efu_life_assurance_ltd/DaAbyhfsHKW.jpg]</t>
        </is>
      </c>
    </row>
    <row r="120">
      <c r="A120">
        <f>IF(B120="","",ROW()-1)</f>
        <v/>
      </c>
      <c r="B120" t="inlineStr">
        <is>
          <t>EFU Life Window Takaful</t>
        </is>
      </c>
      <c r="C120">
        <f>IFERROR(VLOOKUP(B120,Brands!$A:$B,2,FALSE),"")</f>
        <v/>
      </c>
      <c r="D120" t="inlineStr">
        <is>
          <t>meta</t>
        </is>
      </c>
      <c r="E120" t="inlineStr"/>
      <c r="F120" t="inlineStr">
        <is>
          <t>2026-08-27</t>
        </is>
      </c>
      <c r="G120" t="inlineStr">
        <is>
          <t>video</t>
        </is>
      </c>
      <c r="I120" t="inlineStr">
        <is>
          <t>mixed</t>
        </is>
      </c>
      <c r="J120" t="inlineStr">
        <is>
          <t>unclear</t>
        </is>
      </c>
      <c r="K120" t="inlineStr">
        <is>
          <t>other</t>
        </is>
      </c>
      <c r="L120" t="inlineStr">
        <is>
          <t>other</t>
        </is>
      </c>
      <c r="M120" t="inlineStr">
        <is>
          <t>reassurance</t>
        </is>
      </c>
      <c r="N120" t="inlineStr">
        <is>
          <t>none</t>
        </is>
      </c>
      <c r="O120" t="inlineStr">
        <is>
          <t>none</t>
        </is>
      </c>
      <c r="P120" t="inlineStr">
        <is>
          <t>mass</t>
        </is>
      </c>
      <c r="Q120" t="inlineStr">
        <is>
          <t>no</t>
        </is>
      </c>
      <c r="R120" t="n">
        <v>1</v>
      </c>
      <c r="T120" t="inlineStr">
        <is>
          <t>https://www.instagram.com/efu_life_assurance_ltd/reel/DaAZZPsMq9M/</t>
        </is>
      </c>
      <c r="U120" t="inlineStr">
        <is>
          <t>claude</t>
        </is>
      </c>
      <c r="V120" t="inlineStr">
        <is>
          <t>NOT YET CODED - open the full-size file in media/ and code it. [img: media/efu_life_assurance_ltd/DaAZZPsMq9M.jpg]</t>
        </is>
      </c>
    </row>
    <row r="121">
      <c r="A121">
        <f>IF(B121="","",ROW()-1)</f>
        <v/>
      </c>
      <c r="B121" t="inlineStr">
        <is>
          <t>EFU Life Window Takaful</t>
        </is>
      </c>
      <c r="C121">
        <f>IFERROR(VLOOKUP(B121,Brands!$A:$B,2,FALSE),"")</f>
        <v/>
      </c>
      <c r="D121" t="inlineStr">
        <is>
          <t>meta</t>
        </is>
      </c>
      <c r="E121" t="inlineStr"/>
      <c r="F121" t="inlineStr">
        <is>
          <t>2026-08-27</t>
        </is>
      </c>
      <c r="G121" t="inlineStr">
        <is>
          <t>video</t>
        </is>
      </c>
      <c r="I121" t="inlineStr">
        <is>
          <t>mixed</t>
        </is>
      </c>
      <c r="J121" t="inlineStr">
        <is>
          <t>unclear</t>
        </is>
      </c>
      <c r="K121" t="inlineStr">
        <is>
          <t>other</t>
        </is>
      </c>
      <c r="L121" t="inlineStr">
        <is>
          <t>other</t>
        </is>
      </c>
      <c r="M121" t="inlineStr">
        <is>
          <t>reassurance</t>
        </is>
      </c>
      <c r="N121" t="inlineStr">
        <is>
          <t>none</t>
        </is>
      </c>
      <c r="O121" t="inlineStr">
        <is>
          <t>none</t>
        </is>
      </c>
      <c r="P121" t="inlineStr">
        <is>
          <t>mass</t>
        </is>
      </c>
      <c r="Q121" t="inlineStr">
        <is>
          <t>no</t>
        </is>
      </c>
      <c r="R121" t="n">
        <v>1</v>
      </c>
      <c r="T121" t="inlineStr">
        <is>
          <t>https://www.instagram.com/efu_life_assurance_ltd/reel/DaAYLFMM81j/</t>
        </is>
      </c>
      <c r="U121" t="inlineStr">
        <is>
          <t>claude</t>
        </is>
      </c>
      <c r="V121" t="inlineStr">
        <is>
          <t>NOT YET CODED - open the full-size file in media/ and code it. [img: media/efu_life_assurance_ltd/DaAYLFMM81j.jpg]</t>
        </is>
      </c>
    </row>
    <row r="122">
      <c r="A122">
        <f>IF(B122="","",ROW()-1)</f>
        <v/>
      </c>
      <c r="B122" t="inlineStr">
        <is>
          <t>Al Meezan Investments</t>
        </is>
      </c>
      <c r="C122">
        <f>IFERROR(VLOOKUP(B122,Brands!$A:$B,2,FALSE),"")</f>
        <v/>
      </c>
      <c r="D122" t="inlineStr">
        <is>
          <t>meta</t>
        </is>
      </c>
      <c r="E122" t="inlineStr"/>
      <c r="F122" t="inlineStr">
        <is>
          <t>2026-08-27</t>
        </is>
      </c>
      <c r="G122" t="inlineStr">
        <is>
          <t>video</t>
        </is>
      </c>
      <c r="I122" t="inlineStr">
        <is>
          <t>mixed</t>
        </is>
      </c>
      <c r="J122" t="inlineStr">
        <is>
          <t>savings_investment</t>
        </is>
      </c>
      <c r="K122" t="inlineStr">
        <is>
          <t>savings_return</t>
        </is>
      </c>
      <c r="L122" t="inlineStr">
        <is>
          <t>other</t>
        </is>
      </c>
      <c r="M122" t="inlineStr">
        <is>
          <t>reassurance</t>
        </is>
      </c>
      <c r="N122" t="inlineStr">
        <is>
          <t>expert_authority</t>
        </is>
      </c>
      <c r="O122" t="inlineStr">
        <is>
          <t>none</t>
        </is>
      </c>
      <c r="P122" t="inlineStr">
        <is>
          <t>affluent</t>
        </is>
      </c>
      <c r="Q122" t="inlineStr">
        <is>
          <t>no</t>
        </is>
      </c>
      <c r="R122" t="n">
        <v>1</v>
      </c>
      <c r="T122" t="inlineStr">
        <is>
          <t>https://www.instagram.com/almeezangroup/reel/Dbd2rDrEYya/</t>
        </is>
      </c>
      <c r="U122" t="inlineStr">
        <is>
          <t>claude</t>
        </is>
      </c>
      <c r="V122" t="inlineStr">
        <is>
          <t>'Market Outlook 2026' with CEO Imtiaz. [img: media/almeezangroup/Dbd2rDrEYya.jpg]</t>
        </is>
      </c>
    </row>
    <row r="123">
      <c r="A123">
        <f>IF(B123="","",ROW()-1)</f>
        <v/>
      </c>
      <c r="B123" t="inlineStr">
        <is>
          <t>Al Meezan Investments</t>
        </is>
      </c>
      <c r="C123">
        <f>IFERROR(VLOOKUP(B123,Brands!$A:$B,2,FALSE),"")</f>
        <v/>
      </c>
      <c r="D123" t="inlineStr">
        <is>
          <t>meta</t>
        </is>
      </c>
      <c r="E123" t="inlineStr"/>
      <c r="F123" t="inlineStr">
        <is>
          <t>2026-08-27</t>
        </is>
      </c>
      <c r="G123" t="inlineStr">
        <is>
          <t>static</t>
        </is>
      </c>
      <c r="I123" t="inlineStr">
        <is>
          <t>mixed</t>
        </is>
      </c>
      <c r="J123" t="inlineStr">
        <is>
          <t>savings_investment</t>
        </is>
      </c>
      <c r="K123" t="inlineStr">
        <is>
          <t>savings_return</t>
        </is>
      </c>
      <c r="L123" t="inlineStr">
        <is>
          <t>other</t>
        </is>
      </c>
      <c r="M123" t="inlineStr">
        <is>
          <t>reassurance</t>
        </is>
      </c>
      <c r="N123" t="inlineStr">
        <is>
          <t>expert_authority</t>
        </is>
      </c>
      <c r="O123" t="inlineStr">
        <is>
          <t>none</t>
        </is>
      </c>
      <c r="P123" t="inlineStr">
        <is>
          <t>affluent</t>
        </is>
      </c>
      <c r="Q123" t="inlineStr">
        <is>
          <t>no</t>
        </is>
      </c>
      <c r="R123" t="n">
        <v>1</v>
      </c>
      <c r="T123" t="inlineStr">
        <is>
          <t>https://www.instagram.com/almeezangroup/p/Da6_VMcjBTw/</t>
        </is>
      </c>
      <c r="U123" t="inlineStr">
        <is>
          <t>claude</t>
        </is>
      </c>
      <c r="V123" t="inlineStr">
        <is>
          <t>'Investors curious on P/E re-rating' - KSE100 analysis chart. Genuinely analytical content. [img: media/almeezangroup/Da6_VMcjBTw.jpg]</t>
        </is>
      </c>
    </row>
    <row r="124">
      <c r="A124">
        <f>IF(B124="","",ROW()-1)</f>
        <v/>
      </c>
      <c r="B124" t="inlineStr">
        <is>
          <t>Al Meezan Investments</t>
        </is>
      </c>
      <c r="C124">
        <f>IFERROR(VLOOKUP(B124,Brands!$A:$B,2,FALSE),"")</f>
        <v/>
      </c>
      <c r="D124" t="inlineStr">
        <is>
          <t>meta</t>
        </is>
      </c>
      <c r="E124" t="inlineStr"/>
      <c r="F124" t="inlineStr">
        <is>
          <t>2026-08-27</t>
        </is>
      </c>
      <c r="G124" t="inlineStr">
        <is>
          <t>video</t>
        </is>
      </c>
      <c r="I124" t="inlineStr">
        <is>
          <t>mixed</t>
        </is>
      </c>
      <c r="J124" t="inlineStr">
        <is>
          <t>brand_corporate</t>
        </is>
      </c>
      <c r="K124" t="inlineStr">
        <is>
          <t>national_trust</t>
        </is>
      </c>
      <c r="L124" t="inlineStr">
        <is>
          <t>other</t>
        </is>
      </c>
      <c r="M124" t="inlineStr">
        <is>
          <t>pride</t>
        </is>
      </c>
      <c r="N124" t="inlineStr">
        <is>
          <t>none</t>
        </is>
      </c>
      <c r="O124" t="inlineStr">
        <is>
          <t>none</t>
        </is>
      </c>
      <c r="P124" t="inlineStr">
        <is>
          <t>mass</t>
        </is>
      </c>
      <c r="Q124" t="inlineStr">
        <is>
          <t>no</t>
        </is>
      </c>
      <c r="R124" t="n">
        <v>1</v>
      </c>
      <c r="T124" t="inlineStr">
        <is>
          <t>https://www.instagram.com/almeezangroup/reel/Dcik9WYjupP/</t>
        </is>
      </c>
      <c r="U124" t="inlineStr">
        <is>
          <t>claude</t>
        </is>
      </c>
      <c r="V124" t="inlineStr">
        <is>
          <t>Landscape / patriotic imagery. [img: media/almeezangroup/Dcik9WYjupP.jpg]</t>
        </is>
      </c>
    </row>
    <row r="125">
      <c r="A125">
        <f>IF(B125="","",ROW()-1)</f>
        <v/>
      </c>
      <c r="B125" t="inlineStr">
        <is>
          <t>Al Meezan Investments</t>
        </is>
      </c>
      <c r="C125">
        <f>IFERROR(VLOOKUP(B125,Brands!$A:$B,2,FALSE),"")</f>
        <v/>
      </c>
      <c r="D125" t="inlineStr">
        <is>
          <t>meta</t>
        </is>
      </c>
      <c r="E125" t="inlineStr"/>
      <c r="F125" t="inlineStr">
        <is>
          <t>2026-08-27</t>
        </is>
      </c>
      <c r="G125" t="inlineStr">
        <is>
          <t>static</t>
        </is>
      </c>
      <c r="I125" t="inlineStr">
        <is>
          <t>mixed</t>
        </is>
      </c>
      <c r="J125" t="inlineStr">
        <is>
          <t>brand_corporate</t>
        </is>
      </c>
      <c r="K125" t="inlineStr">
        <is>
          <t>brand_corporate</t>
        </is>
      </c>
      <c r="L125" t="inlineStr">
        <is>
          <t>other</t>
        </is>
      </c>
      <c r="M125" t="inlineStr">
        <is>
          <t>aspiration</t>
        </is>
      </c>
      <c r="N125" t="inlineStr">
        <is>
          <t>none</t>
        </is>
      </c>
      <c r="O125" t="inlineStr">
        <is>
          <t>none</t>
        </is>
      </c>
      <c r="P125" t="inlineStr">
        <is>
          <t>youth</t>
        </is>
      </c>
      <c r="Q125" t="inlineStr">
        <is>
          <t>no</t>
        </is>
      </c>
      <c r="R125" t="n">
        <v>1</v>
      </c>
      <c r="T125" t="inlineStr">
        <is>
          <t>https://www.instagram.com/almeezangroup/p/Dcf7OwnjP6V/</t>
        </is>
      </c>
      <c r="U125" t="inlineStr">
        <is>
          <t>claude</t>
        </is>
      </c>
      <c r="V125" t="inlineStr">
        <is>
          <t>Iqra University Career Fair. Recruitment. [img: media/almeezangroup/Dcf7OwnjP6V.jpg]</t>
        </is>
      </c>
    </row>
    <row r="126">
      <c r="A126">
        <f>IF(B126="","",ROW()-1)</f>
        <v/>
      </c>
      <c r="B126" t="inlineStr">
        <is>
          <t>Al Meezan Investments</t>
        </is>
      </c>
      <c r="C126">
        <f>IFERROR(VLOOKUP(B126,Brands!$A:$B,2,FALSE),"")</f>
        <v/>
      </c>
      <c r="D126" t="inlineStr">
        <is>
          <t>meta</t>
        </is>
      </c>
      <c r="E126" t="inlineStr"/>
      <c r="F126" t="inlineStr">
        <is>
          <t>2026-08-27</t>
        </is>
      </c>
      <c r="G126" t="inlineStr">
        <is>
          <t>video</t>
        </is>
      </c>
      <c r="I126" t="inlineStr">
        <is>
          <t>mixed</t>
        </is>
      </c>
      <c r="J126" t="inlineStr">
        <is>
          <t>brand_corporate</t>
        </is>
      </c>
      <c r="K126" t="inlineStr">
        <is>
          <t>faith_compliance</t>
        </is>
      </c>
      <c r="L126" t="inlineStr">
        <is>
          <t>other</t>
        </is>
      </c>
      <c r="M126" t="inlineStr">
        <is>
          <t>reassurance</t>
        </is>
      </c>
      <c r="N126" t="inlineStr">
        <is>
          <t>none</t>
        </is>
      </c>
      <c r="O126" t="inlineStr">
        <is>
          <t>none</t>
        </is>
      </c>
      <c r="P126" t="inlineStr">
        <is>
          <t>mass</t>
        </is>
      </c>
      <c r="Q126" t="inlineStr">
        <is>
          <t>no</t>
        </is>
      </c>
      <c r="R126" t="n">
        <v>1</v>
      </c>
      <c r="T126" t="inlineStr">
        <is>
          <t>https://www.instagram.com/almeezangroup/reel/DcfTi9zijsM/</t>
        </is>
      </c>
      <c r="U126" t="inlineStr">
        <is>
          <t>claude</t>
        </is>
      </c>
      <c r="V126" t="inlineStr">
        <is>
          <t>Eid Milad-un-Nabi, Green Dome. [img: media/almeezangroup/DcfTi9zijsM.jpg]</t>
        </is>
      </c>
    </row>
    <row r="127">
      <c r="A127">
        <f>IF(B127="","",ROW()-1)</f>
        <v/>
      </c>
      <c r="B127" t="inlineStr">
        <is>
          <t>Al Meezan Investments</t>
        </is>
      </c>
      <c r="C127">
        <f>IFERROR(VLOOKUP(B127,Brands!$A:$B,2,FALSE),"")</f>
        <v/>
      </c>
      <c r="D127" t="inlineStr">
        <is>
          <t>meta</t>
        </is>
      </c>
      <c r="E127" t="inlineStr"/>
      <c r="F127" t="inlineStr">
        <is>
          <t>2026-08-27</t>
        </is>
      </c>
      <c r="G127" t="inlineStr">
        <is>
          <t>video</t>
        </is>
      </c>
      <c r="I127" t="inlineStr">
        <is>
          <t>mixed</t>
        </is>
      </c>
      <c r="J127" t="inlineStr">
        <is>
          <t>unclear</t>
        </is>
      </c>
      <c r="K127" t="inlineStr">
        <is>
          <t>other</t>
        </is>
      </c>
      <c r="L127" t="inlineStr">
        <is>
          <t>other</t>
        </is>
      </c>
      <c r="M127" t="inlineStr">
        <is>
          <t>reassurance</t>
        </is>
      </c>
      <c r="N127" t="inlineStr">
        <is>
          <t>none</t>
        </is>
      </c>
      <c r="O127" t="inlineStr">
        <is>
          <t>none</t>
        </is>
      </c>
      <c r="P127" t="inlineStr">
        <is>
          <t>mass</t>
        </is>
      </c>
      <c r="Q127" t="inlineStr">
        <is>
          <t>no</t>
        </is>
      </c>
      <c r="R127" t="n">
        <v>1</v>
      </c>
      <c r="T127" t="inlineStr">
        <is>
          <t>https://www.instagram.com/almeezangroup/reel/Dcdq4IbNeul/</t>
        </is>
      </c>
      <c r="U127" t="inlineStr">
        <is>
          <t>claude</t>
        </is>
      </c>
      <c r="V127" t="inlineStr">
        <is>
          <t>NOT YET CODED - open the full-size file in media/ and code it. [img: media/almeezangroup/Dcdq4IbNeul.jpg]</t>
        </is>
      </c>
    </row>
    <row r="128">
      <c r="A128">
        <f>IF(B128="","",ROW()-1)</f>
        <v/>
      </c>
      <c r="B128" t="inlineStr">
        <is>
          <t>Al Meezan Investments</t>
        </is>
      </c>
      <c r="C128">
        <f>IFERROR(VLOOKUP(B128,Brands!$A:$B,2,FALSE),"")</f>
        <v/>
      </c>
      <c r="D128" t="inlineStr">
        <is>
          <t>meta</t>
        </is>
      </c>
      <c r="E128" t="inlineStr"/>
      <c r="F128" t="inlineStr">
        <is>
          <t>2026-08-27</t>
        </is>
      </c>
      <c r="G128" t="inlineStr">
        <is>
          <t>static</t>
        </is>
      </c>
      <c r="I128" t="inlineStr">
        <is>
          <t>mixed</t>
        </is>
      </c>
      <c r="J128" t="inlineStr">
        <is>
          <t>savings_investment</t>
        </is>
      </c>
      <c r="K128" t="inlineStr">
        <is>
          <t>savings_return</t>
        </is>
      </c>
      <c r="L128" t="inlineStr">
        <is>
          <t>faith_compliance</t>
        </is>
      </c>
      <c r="M128" t="inlineStr">
        <is>
          <t>aspiration</t>
        </is>
      </c>
      <c r="N128" t="inlineStr">
        <is>
          <t>none</t>
        </is>
      </c>
      <c r="O128" t="inlineStr">
        <is>
          <t>digital_direct</t>
        </is>
      </c>
      <c r="P128" t="inlineStr">
        <is>
          <t>mass</t>
        </is>
      </c>
      <c r="Q128" t="inlineStr">
        <is>
          <t>no</t>
        </is>
      </c>
      <c r="R128" t="n">
        <v>1</v>
      </c>
      <c r="T128" t="inlineStr">
        <is>
          <t>https://www.instagram.com/almeezangroup/p/DcaT_zvjFTc/</t>
        </is>
      </c>
      <c r="U128" t="inlineStr">
        <is>
          <t>claude</t>
        </is>
      </c>
      <c r="V128" t="inlineStr">
        <is>
          <t>'HOME BUILDER PLAN - some doors open long before you reach them'. [img: media/almeezangroup/DcaT_zvjFTc.jpg]</t>
        </is>
      </c>
    </row>
    <row r="129">
      <c r="A129">
        <f>IF(B129="","",ROW()-1)</f>
        <v/>
      </c>
      <c r="B129" t="inlineStr">
        <is>
          <t>Al Meezan Investments</t>
        </is>
      </c>
      <c r="C129">
        <f>IFERROR(VLOOKUP(B129,Brands!$A:$B,2,FALSE),"")</f>
        <v/>
      </c>
      <c r="D129" t="inlineStr">
        <is>
          <t>meta</t>
        </is>
      </c>
      <c r="E129" t="inlineStr"/>
      <c r="F129" t="inlineStr">
        <is>
          <t>2026-08-27</t>
        </is>
      </c>
      <c r="G129" t="inlineStr">
        <is>
          <t>video</t>
        </is>
      </c>
      <c r="I129" t="inlineStr">
        <is>
          <t>mixed</t>
        </is>
      </c>
      <c r="J129" t="inlineStr">
        <is>
          <t>savings_investment</t>
        </is>
      </c>
      <c r="K129" t="inlineStr">
        <is>
          <t>faith_compliance</t>
        </is>
      </c>
      <c r="L129" t="inlineStr">
        <is>
          <t>other</t>
        </is>
      </c>
      <c r="M129" t="inlineStr">
        <is>
          <t>humour</t>
        </is>
      </c>
      <c r="N129" t="inlineStr">
        <is>
          <t>none</t>
        </is>
      </c>
      <c r="O129" t="inlineStr">
        <is>
          <t>digital_direct</t>
        </is>
      </c>
      <c r="P129" t="inlineStr">
        <is>
          <t>youth</t>
        </is>
      </c>
      <c r="Q129" t="inlineStr">
        <is>
          <t>yes</t>
        </is>
      </c>
      <c r="R129" t="n">
        <v>1</v>
      </c>
      <c r="T129" t="inlineStr">
        <is>
          <t>https://www.instagram.com/almeezangroup/reel/DcTGy3DFNJi/</t>
        </is>
      </c>
      <c r="U129" t="inlineStr">
        <is>
          <t>claude</t>
        </is>
      </c>
      <c r="V129" t="inlineStr">
        <is>
          <t>'MYTH &amp; FACT' with 'Al Meezan Buddy' robot mascot. Objection handling. [img: media/almeezangroup/DcTGy3DFNJi.jpg]</t>
        </is>
      </c>
    </row>
    <row r="130">
      <c r="A130">
        <f>IF(B130="","",ROW()-1)</f>
        <v/>
      </c>
      <c r="B130" t="inlineStr">
        <is>
          <t>Al Meezan Investments</t>
        </is>
      </c>
      <c r="C130">
        <f>IFERROR(VLOOKUP(B130,Brands!$A:$B,2,FALSE),"")</f>
        <v/>
      </c>
      <c r="D130" t="inlineStr">
        <is>
          <t>meta</t>
        </is>
      </c>
      <c r="E130" t="inlineStr"/>
      <c r="F130" t="inlineStr">
        <is>
          <t>2026-08-27</t>
        </is>
      </c>
      <c r="G130" t="inlineStr">
        <is>
          <t>static</t>
        </is>
      </c>
      <c r="I130" t="inlineStr">
        <is>
          <t>mixed</t>
        </is>
      </c>
      <c r="J130" t="inlineStr">
        <is>
          <t>savings_investment</t>
        </is>
      </c>
      <c r="K130" t="inlineStr">
        <is>
          <t>savings_return</t>
        </is>
      </c>
      <c r="L130" t="inlineStr">
        <is>
          <t>other</t>
        </is>
      </c>
      <c r="M130" t="inlineStr">
        <is>
          <t>aspiration</t>
        </is>
      </c>
      <c r="N130" t="inlineStr">
        <is>
          <t>none</t>
        </is>
      </c>
      <c r="O130" t="inlineStr">
        <is>
          <t>none</t>
        </is>
      </c>
      <c r="P130" t="inlineStr">
        <is>
          <t>mass</t>
        </is>
      </c>
      <c r="Q130" t="inlineStr">
        <is>
          <t>no</t>
        </is>
      </c>
      <c r="R130" t="n">
        <v>1</v>
      </c>
      <c r="T130" t="inlineStr">
        <is>
          <t>https://www.instagram.com/almeezangroup/p/DcNvAhKDByh/</t>
        </is>
      </c>
      <c r="U130" t="inlineStr">
        <is>
          <t>claude</t>
        </is>
      </c>
      <c r="V130" t="inlineStr">
        <is>
          <t>'WHERE MONEY MEETS MEANING' - Money Matters expo silver partner. [img: media/almeezangroup/DcNvAhKDByh.jpg]</t>
        </is>
      </c>
    </row>
    <row r="131">
      <c r="A131">
        <f>IF(B131="","",ROW()-1)</f>
        <v/>
      </c>
      <c r="B131" t="inlineStr">
        <is>
          <t>Al Meezan Investments</t>
        </is>
      </c>
      <c r="C131">
        <f>IFERROR(VLOOKUP(B131,Brands!$A:$B,2,FALSE),"")</f>
        <v/>
      </c>
      <c r="D131" t="inlineStr">
        <is>
          <t>meta</t>
        </is>
      </c>
      <c r="E131" t="inlineStr"/>
      <c r="F131" t="inlineStr">
        <is>
          <t>2026-08-27</t>
        </is>
      </c>
      <c r="G131" t="inlineStr">
        <is>
          <t>video</t>
        </is>
      </c>
      <c r="I131" t="inlineStr">
        <is>
          <t>mixed</t>
        </is>
      </c>
      <c r="J131" t="inlineStr">
        <is>
          <t>savings_investment</t>
        </is>
      </c>
      <c r="K131" t="inlineStr">
        <is>
          <t>convenience_digital</t>
        </is>
      </c>
      <c r="L131" t="inlineStr">
        <is>
          <t>other</t>
        </is>
      </c>
      <c r="M131" t="inlineStr">
        <is>
          <t>reassurance</t>
        </is>
      </c>
      <c r="N131" t="inlineStr">
        <is>
          <t>none</t>
        </is>
      </c>
      <c r="O131" t="inlineStr">
        <is>
          <t>digital_direct</t>
        </is>
      </c>
      <c r="P131" t="inlineStr">
        <is>
          <t>mass</t>
        </is>
      </c>
      <c r="Q131" t="inlineStr">
        <is>
          <t>no</t>
        </is>
      </c>
      <c r="R131" t="n">
        <v>1</v>
      </c>
      <c r="T131" t="inlineStr">
        <is>
          <t>https://www.instagram.com/almeezangroup/reel/DcLPygWAXyz/</t>
        </is>
      </c>
      <c r="U131" t="inlineStr">
        <is>
          <t>claude</t>
        </is>
      </c>
      <c r="V131" t="inlineStr">
        <is>
          <t>'How to generate RAAST Investment ID' on mobile. [img: media/almeezangroup/DcLPygWAXyz.jpg]</t>
        </is>
      </c>
    </row>
    <row r="132">
      <c r="A132">
        <f>IF(B132="","",ROW()-1)</f>
        <v/>
      </c>
      <c r="B132" t="inlineStr">
        <is>
          <t>Al Meezan Investments</t>
        </is>
      </c>
      <c r="C132">
        <f>IFERROR(VLOOKUP(B132,Brands!$A:$B,2,FALSE),"")</f>
        <v/>
      </c>
      <c r="D132" t="inlineStr">
        <is>
          <t>meta</t>
        </is>
      </c>
      <c r="E132" t="inlineStr"/>
      <c r="F132" t="inlineStr">
        <is>
          <t>2026-08-27</t>
        </is>
      </c>
      <c r="G132" t="inlineStr">
        <is>
          <t>video</t>
        </is>
      </c>
      <c r="I132" t="inlineStr">
        <is>
          <t>mixed</t>
        </is>
      </c>
      <c r="J132" t="inlineStr">
        <is>
          <t>savings_investment</t>
        </is>
      </c>
      <c r="K132" t="inlineStr">
        <is>
          <t>convenience_digital</t>
        </is>
      </c>
      <c r="L132" t="inlineStr">
        <is>
          <t>other</t>
        </is>
      </c>
      <c r="M132" t="inlineStr">
        <is>
          <t>reassurance</t>
        </is>
      </c>
      <c r="N132" t="inlineStr">
        <is>
          <t>none</t>
        </is>
      </c>
      <c r="O132" t="inlineStr">
        <is>
          <t>digital_direct</t>
        </is>
      </c>
      <c r="P132" t="inlineStr">
        <is>
          <t>mass</t>
        </is>
      </c>
      <c r="Q132" t="inlineStr">
        <is>
          <t>no</t>
        </is>
      </c>
      <c r="R132" t="n">
        <v>1</v>
      </c>
      <c r="T132" t="inlineStr">
        <is>
          <t>https://www.instagram.com/almeezangroup/reel/DcIqvkLFGD5/</t>
        </is>
      </c>
      <c r="U132" t="inlineStr">
        <is>
          <t>claude</t>
        </is>
      </c>
      <c r="V132" t="inlineStr">
        <is>
          <t>'How to generate RAAST Investment ID' on desktop. [img: media/almeezangroup/DcIqvkLFGD5.jpg]</t>
        </is>
      </c>
    </row>
    <row r="133">
      <c r="A133">
        <f>IF(B133="","",ROW()-1)</f>
        <v/>
      </c>
      <c r="B133" t="inlineStr">
        <is>
          <t>Al Meezan Investments</t>
        </is>
      </c>
      <c r="C133">
        <f>IFERROR(VLOOKUP(B133,Brands!$A:$B,2,FALSE),"")</f>
        <v/>
      </c>
      <c r="D133" t="inlineStr">
        <is>
          <t>meta</t>
        </is>
      </c>
      <c r="E133" t="inlineStr"/>
      <c r="F133" t="inlineStr">
        <is>
          <t>2026-08-27</t>
        </is>
      </c>
      <c r="G133" t="inlineStr">
        <is>
          <t>video</t>
        </is>
      </c>
      <c r="I133" t="inlineStr">
        <is>
          <t>mixed</t>
        </is>
      </c>
      <c r="J133" t="inlineStr">
        <is>
          <t>brand_corporate</t>
        </is>
      </c>
      <c r="K133" t="inlineStr">
        <is>
          <t>brand_corporate</t>
        </is>
      </c>
      <c r="L133" t="inlineStr">
        <is>
          <t>other</t>
        </is>
      </c>
      <c r="M133" t="inlineStr">
        <is>
          <t>duty</t>
        </is>
      </c>
      <c r="N133" t="inlineStr">
        <is>
          <t>none</t>
        </is>
      </c>
      <c r="O133" t="inlineStr">
        <is>
          <t>none</t>
        </is>
      </c>
      <c r="P133" t="inlineStr">
        <is>
          <t>mass</t>
        </is>
      </c>
      <c r="Q133" t="inlineStr">
        <is>
          <t>no</t>
        </is>
      </c>
      <c r="R133" t="n">
        <v>1</v>
      </c>
      <c r="T133" t="inlineStr">
        <is>
          <t>https://www.instagram.com/almeezangroup/reel/DcFqcCxEgUF/</t>
        </is>
      </c>
      <c r="U133" t="inlineStr">
        <is>
          <t>claude</t>
        </is>
      </c>
      <c r="V133" t="inlineStr">
        <is>
          <t>'Al Meezan Cares' public service message. [img: media/almeezangroup/DcFqcCxEgUF.jpg]</t>
        </is>
      </c>
    </row>
    <row r="134">
      <c r="A134">
        <f>IF(B134="","",ROW()-1)</f>
        <v/>
      </c>
      <c r="B134" t="inlineStr">
        <is>
          <t>UBL Fund Managers</t>
        </is>
      </c>
      <c r="C134">
        <f>IFERROR(VLOOKUP(B134,Brands!$A:$B,2,FALSE),"")</f>
        <v/>
      </c>
      <c r="D134" t="inlineStr">
        <is>
          <t>meta</t>
        </is>
      </c>
      <c r="E134" t="inlineStr"/>
      <c r="F134" t="inlineStr">
        <is>
          <t>2026-08-27</t>
        </is>
      </c>
      <c r="G134" t="inlineStr">
        <is>
          <t>video</t>
        </is>
      </c>
      <c r="I134" t="inlineStr">
        <is>
          <t>mixed</t>
        </is>
      </c>
      <c r="J134" t="inlineStr">
        <is>
          <t>savings_investment</t>
        </is>
      </c>
      <c r="K134" t="inlineStr">
        <is>
          <t>convenience_digital</t>
        </is>
      </c>
      <c r="L134" t="inlineStr">
        <is>
          <t>other</t>
        </is>
      </c>
      <c r="M134" t="inlineStr">
        <is>
          <t>aspiration</t>
        </is>
      </c>
      <c r="N134" t="inlineStr">
        <is>
          <t>none</t>
        </is>
      </c>
      <c r="O134" t="inlineStr">
        <is>
          <t>digital_direct</t>
        </is>
      </c>
      <c r="P134" t="inlineStr">
        <is>
          <t>mass</t>
        </is>
      </c>
      <c r="Q134" t="inlineStr">
        <is>
          <t>no</t>
        </is>
      </c>
      <c r="R134" t="n">
        <v>1</v>
      </c>
      <c r="T134" t="inlineStr">
        <is>
          <t>https://www.instagram.com/ublfunds/reel/DNkisDyMwXu/</t>
        </is>
      </c>
      <c r="U134" t="inlineStr">
        <is>
          <t>claude</t>
        </is>
      </c>
      <c r="V134" t="inlineStr">
        <is>
          <t>Al-Ameen rebrand: 'smarter, better... the new us'. [img: media/ublfunds/DNkisDyMwXu.jpg]</t>
        </is>
      </c>
    </row>
    <row r="135">
      <c r="A135">
        <f>IF(B135="","",ROW()-1)</f>
        <v/>
      </c>
      <c r="B135" t="inlineStr">
        <is>
          <t>UBL Fund Managers</t>
        </is>
      </c>
      <c r="C135">
        <f>IFERROR(VLOOKUP(B135,Brands!$A:$B,2,FALSE),"")</f>
        <v/>
      </c>
      <c r="D135" t="inlineStr">
        <is>
          <t>meta</t>
        </is>
      </c>
      <c r="E135" t="inlineStr"/>
      <c r="F135" t="inlineStr">
        <is>
          <t>2026-08-27</t>
        </is>
      </c>
      <c r="G135" t="inlineStr">
        <is>
          <t>video</t>
        </is>
      </c>
      <c r="I135" t="inlineStr">
        <is>
          <t>mixed</t>
        </is>
      </c>
      <c r="J135" t="inlineStr">
        <is>
          <t>unclear</t>
        </is>
      </c>
      <c r="K135" t="inlineStr">
        <is>
          <t>other</t>
        </is>
      </c>
      <c r="L135" t="inlineStr">
        <is>
          <t>other</t>
        </is>
      </c>
      <c r="M135" t="inlineStr">
        <is>
          <t>reassurance</t>
        </is>
      </c>
      <c r="N135" t="inlineStr">
        <is>
          <t>none</t>
        </is>
      </c>
      <c r="O135" t="inlineStr">
        <is>
          <t>none</t>
        </is>
      </c>
      <c r="P135" t="inlineStr">
        <is>
          <t>mass</t>
        </is>
      </c>
      <c r="Q135" t="inlineStr">
        <is>
          <t>no</t>
        </is>
      </c>
      <c r="R135" t="n">
        <v>1</v>
      </c>
      <c r="T135" t="inlineStr">
        <is>
          <t>https://www.instagram.com/ublfunds/reel/DLj9FzXI_3H/</t>
        </is>
      </c>
      <c r="U135" t="inlineStr">
        <is>
          <t>claude</t>
        </is>
      </c>
      <c r="V135" t="inlineStr">
        <is>
          <t>NOT YET CODED - open the full-size file in media/ and code it. [img: media/ublfunds/DLj9FzXI_3H.jpg]</t>
        </is>
      </c>
    </row>
    <row r="136">
      <c r="A136">
        <f>IF(B136="","",ROW()-1)</f>
        <v/>
      </c>
      <c r="B136" t="inlineStr">
        <is>
          <t>UBL Fund Managers</t>
        </is>
      </c>
      <c r="C136">
        <f>IFERROR(VLOOKUP(B136,Brands!$A:$B,2,FALSE),"")</f>
        <v/>
      </c>
      <c r="D136" t="inlineStr">
        <is>
          <t>meta</t>
        </is>
      </c>
      <c r="E136" t="inlineStr"/>
      <c r="F136" t="inlineStr">
        <is>
          <t>2026-08-27</t>
        </is>
      </c>
      <c r="G136" t="inlineStr">
        <is>
          <t>video</t>
        </is>
      </c>
      <c r="I136" t="inlineStr">
        <is>
          <t>mixed</t>
        </is>
      </c>
      <c r="J136" t="inlineStr">
        <is>
          <t>savings_investment</t>
        </is>
      </c>
      <c r="K136" t="inlineStr">
        <is>
          <t>convenience_digital</t>
        </is>
      </c>
      <c r="L136" t="inlineStr">
        <is>
          <t>other</t>
        </is>
      </c>
      <c r="M136" t="inlineStr">
        <is>
          <t>reassurance</t>
        </is>
      </c>
      <c r="N136" t="inlineStr">
        <is>
          <t>none</t>
        </is>
      </c>
      <c r="O136" t="inlineStr">
        <is>
          <t>digital_direct</t>
        </is>
      </c>
      <c r="P136" t="inlineStr">
        <is>
          <t>mass</t>
        </is>
      </c>
      <c r="Q136" t="inlineStr">
        <is>
          <t>no</t>
        </is>
      </c>
      <c r="R136" t="n">
        <v>1</v>
      </c>
      <c r="T136" t="inlineStr">
        <is>
          <t>https://www.instagram.com/ublfunds/reel/C0MOKhSocyS/</t>
        </is>
      </c>
      <c r="U136" t="inlineStr">
        <is>
          <t>claude</t>
        </is>
      </c>
      <c r="V136" t="inlineStr">
        <is>
          <t>UBL Funds digital mobile app access. [img: media/ublfunds/C0MOKhSocyS.jpg]</t>
        </is>
      </c>
    </row>
    <row r="137">
      <c r="A137">
        <f>IF(B137="","",ROW()-1)</f>
        <v/>
      </c>
      <c r="B137" t="inlineStr">
        <is>
          <t>UBL Fund Managers</t>
        </is>
      </c>
      <c r="C137">
        <f>IFERROR(VLOOKUP(B137,Brands!$A:$B,2,FALSE),"")</f>
        <v/>
      </c>
      <c r="D137" t="inlineStr">
        <is>
          <t>meta</t>
        </is>
      </c>
      <c r="E137" t="inlineStr"/>
      <c r="F137" t="inlineStr">
        <is>
          <t>2026-08-27</t>
        </is>
      </c>
      <c r="G137" t="inlineStr">
        <is>
          <t>static</t>
        </is>
      </c>
      <c r="I137" t="inlineStr">
        <is>
          <t>mixed</t>
        </is>
      </c>
      <c r="J137" t="inlineStr">
        <is>
          <t>brand_corporate</t>
        </is>
      </c>
      <c r="K137" t="inlineStr">
        <is>
          <t>faith_compliance</t>
        </is>
      </c>
      <c r="L137" t="inlineStr">
        <is>
          <t>other</t>
        </is>
      </c>
      <c r="M137" t="inlineStr">
        <is>
          <t>reassurance</t>
        </is>
      </c>
      <c r="N137" t="inlineStr">
        <is>
          <t>none</t>
        </is>
      </c>
      <c r="O137" t="inlineStr">
        <is>
          <t>none</t>
        </is>
      </c>
      <c r="P137" t="inlineStr">
        <is>
          <t>mass</t>
        </is>
      </c>
      <c r="Q137" t="inlineStr">
        <is>
          <t>no</t>
        </is>
      </c>
      <c r="R137" t="n">
        <v>1</v>
      </c>
      <c r="T137" t="inlineStr">
        <is>
          <t>https://www.instagram.com/ublfunds/p/DceOx12CGcI/</t>
        </is>
      </c>
      <c r="U137" t="inlineStr">
        <is>
          <t>claude</t>
        </is>
      </c>
      <c r="V137" t="inlineStr">
        <is>
          <t>Rabi ul Awal / Eid Milad-un-Nabi greeting. [img: media/ublfunds/DceOx12CGcI.jpg]</t>
        </is>
      </c>
    </row>
    <row r="138">
      <c r="A138">
        <f>IF(B138="","",ROW()-1)</f>
        <v/>
      </c>
      <c r="B138" t="inlineStr">
        <is>
          <t>UBL Fund Managers</t>
        </is>
      </c>
      <c r="C138">
        <f>IFERROR(VLOOKUP(B138,Brands!$A:$B,2,FALSE),"")</f>
        <v/>
      </c>
      <c r="D138" t="inlineStr">
        <is>
          <t>meta</t>
        </is>
      </c>
      <c r="E138" t="inlineStr"/>
      <c r="F138" t="inlineStr">
        <is>
          <t>2026-08-27</t>
        </is>
      </c>
      <c r="G138" t="inlineStr">
        <is>
          <t>static</t>
        </is>
      </c>
      <c r="I138" t="inlineStr">
        <is>
          <t>mixed</t>
        </is>
      </c>
      <c r="J138" t="inlineStr">
        <is>
          <t>brand_corporate</t>
        </is>
      </c>
      <c r="K138" t="inlineStr">
        <is>
          <t>brand_corporate</t>
        </is>
      </c>
      <c r="L138" t="inlineStr">
        <is>
          <t>other</t>
        </is>
      </c>
      <c r="M138" t="inlineStr">
        <is>
          <t>pride</t>
        </is>
      </c>
      <c r="N138" t="inlineStr">
        <is>
          <t>none</t>
        </is>
      </c>
      <c r="O138" t="inlineStr">
        <is>
          <t>none</t>
        </is>
      </c>
      <c r="P138" t="inlineStr">
        <is>
          <t>sme_corporate</t>
        </is>
      </c>
      <c r="Q138" t="inlineStr">
        <is>
          <t>no</t>
        </is>
      </c>
      <c r="R138" t="n">
        <v>1</v>
      </c>
      <c r="T138" t="inlineStr">
        <is>
          <t>https://www.instagram.com/ublfunds/p/DcdL47_jIrP/</t>
        </is>
      </c>
      <c r="U138" t="inlineStr">
        <is>
          <t>claude</t>
        </is>
      </c>
      <c r="V138" t="inlineStr">
        <is>
          <t>MOU signing ceremony. [img: media/ublfunds/DcdL47_jIrP.jpg]</t>
        </is>
      </c>
    </row>
    <row r="139">
      <c r="A139">
        <f>IF(B139="","",ROW()-1)</f>
        <v/>
      </c>
      <c r="B139" t="inlineStr">
        <is>
          <t>UBL Fund Managers</t>
        </is>
      </c>
      <c r="C139">
        <f>IFERROR(VLOOKUP(B139,Brands!$A:$B,2,FALSE),"")</f>
        <v/>
      </c>
      <c r="D139" t="inlineStr">
        <is>
          <t>meta</t>
        </is>
      </c>
      <c r="E139" t="inlineStr"/>
      <c r="F139" t="inlineStr">
        <is>
          <t>2026-08-27</t>
        </is>
      </c>
      <c r="G139" t="inlineStr">
        <is>
          <t>static</t>
        </is>
      </c>
      <c r="I139" t="inlineStr">
        <is>
          <t>mixed</t>
        </is>
      </c>
      <c r="J139" t="inlineStr">
        <is>
          <t>savings_investment</t>
        </is>
      </c>
      <c r="K139" t="inlineStr">
        <is>
          <t>convenience_digital</t>
        </is>
      </c>
      <c r="L139" t="inlineStr">
        <is>
          <t>other</t>
        </is>
      </c>
      <c r="M139" t="inlineStr">
        <is>
          <t>aspiration</t>
        </is>
      </c>
      <c r="N139" t="inlineStr">
        <is>
          <t>none</t>
        </is>
      </c>
      <c r="O139" t="inlineStr">
        <is>
          <t>digital_direct</t>
        </is>
      </c>
      <c r="P139" t="inlineStr">
        <is>
          <t>mass</t>
        </is>
      </c>
      <c r="Q139" t="inlineStr">
        <is>
          <t>no</t>
        </is>
      </c>
      <c r="R139" t="n">
        <v>1</v>
      </c>
      <c r="T139" t="inlineStr">
        <is>
          <t>https://www.instagram.com/ublfunds/p/Dca-Uw3grJ2/</t>
        </is>
      </c>
      <c r="U139" t="inlineStr">
        <is>
          <t>claude</t>
        </is>
      </c>
      <c r="V139" t="inlineStr">
        <is>
          <t>'Faisla yaqeen ka' campaign line, event booth. [img: media/ublfunds/Dca-Uw3grJ2.jpg]</t>
        </is>
      </c>
    </row>
    <row r="140">
      <c r="A140">
        <f>IF(B140="","",ROW()-1)</f>
        <v/>
      </c>
      <c r="B140" t="inlineStr">
        <is>
          <t>UBL Fund Managers</t>
        </is>
      </c>
      <c r="C140">
        <f>IFERROR(VLOOKUP(B140,Brands!$A:$B,2,FALSE),"")</f>
        <v/>
      </c>
      <c r="D140" t="inlineStr">
        <is>
          <t>meta</t>
        </is>
      </c>
      <c r="E140" t="inlineStr"/>
      <c r="F140" t="inlineStr">
        <is>
          <t>2026-08-27</t>
        </is>
      </c>
      <c r="G140" t="inlineStr">
        <is>
          <t>static</t>
        </is>
      </c>
      <c r="I140" t="inlineStr">
        <is>
          <t>mixed</t>
        </is>
      </c>
      <c r="J140" t="inlineStr">
        <is>
          <t>savings_investment</t>
        </is>
      </c>
      <c r="K140" t="inlineStr">
        <is>
          <t>convenience_digital</t>
        </is>
      </c>
      <c r="L140" t="inlineStr">
        <is>
          <t>savings_return</t>
        </is>
      </c>
      <c r="M140" t="inlineStr">
        <is>
          <t>reassurance</t>
        </is>
      </c>
      <c r="N140" t="inlineStr">
        <is>
          <t>ratings_awards</t>
        </is>
      </c>
      <c r="O140" t="inlineStr">
        <is>
          <t>digital_direct</t>
        </is>
      </c>
      <c r="P140" t="inlineStr">
        <is>
          <t>affluent</t>
        </is>
      </c>
      <c r="Q140" t="inlineStr">
        <is>
          <t>no</t>
        </is>
      </c>
      <c r="R140" t="n">
        <v>1</v>
      </c>
      <c r="T140" t="inlineStr">
        <is>
          <t>https://www.instagram.com/ublfunds/p/Dcazxa3jPIk/</t>
        </is>
      </c>
      <c r="U140" t="inlineStr">
        <is>
          <t>claude</t>
        </is>
      </c>
      <c r="V140" t="inlineStr">
        <is>
          <t>'Fauri Paisa - your money, when you need it. Instant redemption up to PKR 1,000,000.' Liquidity as the claim. [img: media/ublfunds/Dcazxa3jPIk.jpg]</t>
        </is>
      </c>
    </row>
    <row r="141">
      <c r="A141">
        <f>IF(B141="","",ROW()-1)</f>
        <v/>
      </c>
      <c r="B141" t="inlineStr">
        <is>
          <t>UBL Fund Managers</t>
        </is>
      </c>
      <c r="C141">
        <f>IFERROR(VLOOKUP(B141,Brands!$A:$B,2,FALSE),"")</f>
        <v/>
      </c>
      <c r="D141" t="inlineStr">
        <is>
          <t>meta</t>
        </is>
      </c>
      <c r="E141" t="inlineStr"/>
      <c r="F141" t="inlineStr">
        <is>
          <t>2026-08-27</t>
        </is>
      </c>
      <c r="G141" t="inlineStr">
        <is>
          <t>video</t>
        </is>
      </c>
      <c r="I141" t="inlineStr">
        <is>
          <t>mixed</t>
        </is>
      </c>
      <c r="J141" t="inlineStr">
        <is>
          <t>brand_corporate</t>
        </is>
      </c>
      <c r="K141" t="inlineStr">
        <is>
          <t>national_trust</t>
        </is>
      </c>
      <c r="L141" t="inlineStr">
        <is>
          <t>other</t>
        </is>
      </c>
      <c r="M141" t="inlineStr">
        <is>
          <t>pride</t>
        </is>
      </c>
      <c r="N141" t="inlineStr">
        <is>
          <t>none</t>
        </is>
      </c>
      <c r="O141" t="inlineStr">
        <is>
          <t>none</t>
        </is>
      </c>
      <c r="P141" t="inlineStr">
        <is>
          <t>mass</t>
        </is>
      </c>
      <c r="Q141" t="inlineStr">
        <is>
          <t>no</t>
        </is>
      </c>
      <c r="R141" t="n">
        <v>1</v>
      </c>
      <c r="T141" t="inlineStr">
        <is>
          <t>https://www.instagram.com/ublfunds/reel/DcaoSS1s1DR/</t>
        </is>
      </c>
      <c r="U141" t="inlineStr">
        <is>
          <t>claude</t>
        </is>
      </c>
      <c r="V141" t="inlineStr">
        <is>
          <t>'Spirit of Pakistan' 14 Aug cake. [img: media/ublfunds/DcaoSS1s1DR.jpg]</t>
        </is>
      </c>
    </row>
    <row r="142">
      <c r="A142">
        <f>IF(B142="","",ROW()-1)</f>
        <v/>
      </c>
      <c r="B142" t="inlineStr">
        <is>
          <t>UBL Fund Managers</t>
        </is>
      </c>
      <c r="C142">
        <f>IFERROR(VLOOKUP(B142,Brands!$A:$B,2,FALSE),"")</f>
        <v/>
      </c>
      <c r="D142" t="inlineStr">
        <is>
          <t>meta</t>
        </is>
      </c>
      <c r="E142" t="inlineStr"/>
      <c r="F142" t="inlineStr">
        <is>
          <t>2026-08-27</t>
        </is>
      </c>
      <c r="G142" t="inlineStr">
        <is>
          <t>static</t>
        </is>
      </c>
      <c r="I142" t="inlineStr">
        <is>
          <t>mixed</t>
        </is>
      </c>
      <c r="J142" t="inlineStr">
        <is>
          <t>savings_investment</t>
        </is>
      </c>
      <c r="K142" t="inlineStr">
        <is>
          <t>savings_return</t>
        </is>
      </c>
      <c r="L142" t="inlineStr">
        <is>
          <t>other</t>
        </is>
      </c>
      <c r="M142" t="inlineStr">
        <is>
          <t>aspiration</t>
        </is>
      </c>
      <c r="N142" t="inlineStr">
        <is>
          <t>none</t>
        </is>
      </c>
      <c r="O142" t="inlineStr">
        <is>
          <t>none</t>
        </is>
      </c>
      <c r="P142" t="inlineStr">
        <is>
          <t>mass</t>
        </is>
      </c>
      <c r="Q142" t="inlineStr">
        <is>
          <t>no</t>
        </is>
      </c>
      <c r="R142" t="n">
        <v>1</v>
      </c>
      <c r="T142" t="inlineStr">
        <is>
          <t>https://www.instagram.com/ublfunds/p/DcNmmoKjK0L/</t>
        </is>
      </c>
      <c r="U142" t="inlineStr">
        <is>
          <t>claude</t>
        </is>
      </c>
      <c r="V142" t="inlineStr">
        <is>
          <t>'Money Matters' wealth expo, Gilgit, with Al-Ameen Funds. [img: media/ublfunds/DcNmmoKjK0L.jpg]</t>
        </is>
      </c>
    </row>
    <row r="143">
      <c r="A143">
        <f>IF(B143="","",ROW()-1)</f>
        <v/>
      </c>
      <c r="B143" t="inlineStr">
        <is>
          <t>UBL Fund Managers</t>
        </is>
      </c>
      <c r="C143">
        <f>IFERROR(VLOOKUP(B143,Brands!$A:$B,2,FALSE),"")</f>
        <v/>
      </c>
      <c r="D143" t="inlineStr">
        <is>
          <t>meta</t>
        </is>
      </c>
      <c r="E143" t="inlineStr"/>
      <c r="F143" t="inlineStr">
        <is>
          <t>2026-08-27</t>
        </is>
      </c>
      <c r="G143" t="inlineStr">
        <is>
          <t>static</t>
        </is>
      </c>
      <c r="I143" t="inlineStr">
        <is>
          <t>mixed</t>
        </is>
      </c>
      <c r="J143" t="inlineStr">
        <is>
          <t>brand_corporate</t>
        </is>
      </c>
      <c r="K143" t="inlineStr">
        <is>
          <t>brand_corporate</t>
        </is>
      </c>
      <c r="L143" t="inlineStr">
        <is>
          <t>other</t>
        </is>
      </c>
      <c r="M143" t="inlineStr">
        <is>
          <t>aspiration</t>
        </is>
      </c>
      <c r="N143" t="inlineStr">
        <is>
          <t>none</t>
        </is>
      </c>
      <c r="O143" t="inlineStr">
        <is>
          <t>none</t>
        </is>
      </c>
      <c r="P143" t="inlineStr">
        <is>
          <t>sme_corporate</t>
        </is>
      </c>
      <c r="Q143" t="inlineStr">
        <is>
          <t>no</t>
        </is>
      </c>
      <c r="R143" t="n">
        <v>1</v>
      </c>
      <c r="T143" t="inlineStr">
        <is>
          <t>https://www.instagram.com/ublfunds/p/DcNdT6qjOCZ/</t>
        </is>
      </c>
      <c r="U143" t="inlineStr">
        <is>
          <t>claude</t>
        </is>
      </c>
      <c r="V143" t="inlineStr">
        <is>
          <t>'We're Hiring' - Assistant Portfolio Manager. Recruitment. [img: media/ublfunds/DcNdT6qjOCZ.jpg]</t>
        </is>
      </c>
    </row>
    <row r="144">
      <c r="A144">
        <f>IF(B144="","",ROW()-1)</f>
        <v/>
      </c>
      <c r="B144" t="inlineStr">
        <is>
          <t>UBL Fund Managers</t>
        </is>
      </c>
      <c r="C144">
        <f>IFERROR(VLOOKUP(B144,Brands!$A:$B,2,FALSE),"")</f>
        <v/>
      </c>
      <c r="D144" t="inlineStr">
        <is>
          <t>meta</t>
        </is>
      </c>
      <c r="E144" t="inlineStr"/>
      <c r="F144" t="inlineStr">
        <is>
          <t>2026-08-27</t>
        </is>
      </c>
      <c r="G144" t="inlineStr">
        <is>
          <t>static</t>
        </is>
      </c>
      <c r="I144" t="inlineStr">
        <is>
          <t>mixed</t>
        </is>
      </c>
      <c r="J144" t="inlineStr">
        <is>
          <t>brand_corporate</t>
        </is>
      </c>
      <c r="K144" t="inlineStr">
        <is>
          <t>brand_corporate</t>
        </is>
      </c>
      <c r="L144" t="inlineStr">
        <is>
          <t>other</t>
        </is>
      </c>
      <c r="M144" t="inlineStr">
        <is>
          <t>aspiration</t>
        </is>
      </c>
      <c r="N144" t="inlineStr">
        <is>
          <t>none</t>
        </is>
      </c>
      <c r="O144" t="inlineStr">
        <is>
          <t>none</t>
        </is>
      </c>
      <c r="P144" t="inlineStr">
        <is>
          <t>sme_corporate</t>
        </is>
      </c>
      <c r="Q144" t="inlineStr">
        <is>
          <t>no</t>
        </is>
      </c>
      <c r="R144" t="n">
        <v>1</v>
      </c>
      <c r="T144" t="inlineStr">
        <is>
          <t>https://www.instagram.com/ublfunds/p/DcNc9TVjH77/</t>
        </is>
      </c>
      <c r="U144" t="inlineStr">
        <is>
          <t>claude</t>
        </is>
      </c>
      <c r="V144" t="inlineStr">
        <is>
          <t>'We're Hiring' - Portfolio Manager. Recruitment. [img: media/ublfunds/DcNc9TVjH77.jpg]</t>
        </is>
      </c>
    </row>
    <row r="145">
      <c r="A145">
        <f>IF(B145="","",ROW()-1)</f>
        <v/>
      </c>
      <c r="B145" t="inlineStr">
        <is>
          <t>UBL Fund Managers</t>
        </is>
      </c>
      <c r="C145">
        <f>IFERROR(VLOOKUP(B145,Brands!$A:$B,2,FALSE),"")</f>
        <v/>
      </c>
      <c r="D145" t="inlineStr">
        <is>
          <t>meta</t>
        </is>
      </c>
      <c r="E145" t="inlineStr"/>
      <c r="F145" t="inlineStr">
        <is>
          <t>2026-08-27</t>
        </is>
      </c>
      <c r="G145" t="inlineStr">
        <is>
          <t>static</t>
        </is>
      </c>
      <c r="I145" t="inlineStr">
        <is>
          <t>mixed</t>
        </is>
      </c>
      <c r="J145" t="inlineStr">
        <is>
          <t>unclear</t>
        </is>
      </c>
      <c r="K145" t="inlineStr">
        <is>
          <t>other</t>
        </is>
      </c>
      <c r="L145" t="inlineStr">
        <is>
          <t>other</t>
        </is>
      </c>
      <c r="M145" t="inlineStr">
        <is>
          <t>reassurance</t>
        </is>
      </c>
      <c r="N145" t="inlineStr">
        <is>
          <t>none</t>
        </is>
      </c>
      <c r="O145" t="inlineStr">
        <is>
          <t>none</t>
        </is>
      </c>
      <c r="P145" t="inlineStr">
        <is>
          <t>mass</t>
        </is>
      </c>
      <c r="Q145" t="inlineStr">
        <is>
          <t>no</t>
        </is>
      </c>
      <c r="R145" t="n">
        <v>1</v>
      </c>
      <c r="T145" t="inlineStr">
        <is>
          <t>https://www.instagram.com/ublfunds/p/DcLgeH8lLnr/</t>
        </is>
      </c>
      <c r="U145" t="inlineStr">
        <is>
          <t>claude</t>
        </is>
      </c>
      <c r="V145" t="inlineStr">
        <is>
          <t>NOT YET CODED - open the full-size file in media/ and code it. [img: media/ublfunds/DcLgeH8lLnr.jpg]</t>
        </is>
      </c>
    </row>
    <row r="146">
      <c r="A146">
        <f>IF(B146="","",ROW()-1)</f>
        <v/>
      </c>
      <c r="C146">
        <f>IFERROR(VLOOKUP(B146,Brands!$A:$B,2,FALSE),"")</f>
        <v/>
      </c>
    </row>
    <row r="147">
      <c r="A147">
        <f>IF(B147="","",ROW()-1)</f>
        <v/>
      </c>
      <c r="C147">
        <f>IFERROR(VLOOKUP(B147,Brands!$A:$B,2,FALSE),"")</f>
        <v/>
      </c>
    </row>
    <row r="148">
      <c r="A148">
        <f>IF(B148="","",ROW()-1)</f>
        <v/>
      </c>
      <c r="C148">
        <f>IFERROR(VLOOKUP(B148,Brands!$A:$B,2,FALSE),"")</f>
        <v/>
      </c>
    </row>
    <row r="149">
      <c r="A149">
        <f>IF(B149="","",ROW()-1)</f>
        <v/>
      </c>
      <c r="C149">
        <f>IFERROR(VLOOKUP(B149,Brands!$A:$B,2,FALSE),"")</f>
        <v/>
      </c>
    </row>
    <row r="150">
      <c r="A150">
        <f>IF(B150="","",ROW()-1)</f>
        <v/>
      </c>
      <c r="C150">
        <f>IFERROR(VLOOKUP(B150,Brands!$A:$B,2,FALSE),"")</f>
        <v/>
      </c>
    </row>
    <row r="151">
      <c r="A151">
        <f>IF(B151="","",ROW()-1)</f>
        <v/>
      </c>
      <c r="C151">
        <f>IFERROR(VLOOKUP(B151,Brands!$A:$B,2,FALSE),"")</f>
        <v/>
      </c>
    </row>
    <row r="152">
      <c r="A152">
        <f>IF(B152="","",ROW()-1)</f>
        <v/>
      </c>
      <c r="C152">
        <f>IFERROR(VLOOKUP(B152,Brands!$A:$B,2,FALSE),"")</f>
        <v/>
      </c>
    </row>
    <row r="153">
      <c r="A153">
        <f>IF(B153="","",ROW()-1)</f>
        <v/>
      </c>
      <c r="C153">
        <f>IFERROR(VLOOKUP(B153,Brands!$A:$B,2,FALSE),"")</f>
        <v/>
      </c>
    </row>
    <row r="154">
      <c r="A154">
        <f>IF(B154="","",ROW()-1)</f>
        <v/>
      </c>
      <c r="C154">
        <f>IFERROR(VLOOKUP(B154,Brands!$A:$B,2,FALSE),"")</f>
        <v/>
      </c>
    </row>
    <row r="155">
      <c r="A155">
        <f>IF(B155="","",ROW()-1)</f>
        <v/>
      </c>
      <c r="C155">
        <f>IFERROR(VLOOKUP(B155,Brands!$A:$B,2,FALSE),"")</f>
        <v/>
      </c>
    </row>
    <row r="156">
      <c r="A156">
        <f>IF(B156="","",ROW()-1)</f>
        <v/>
      </c>
      <c r="C156">
        <f>IFERROR(VLOOKUP(B156,Brands!$A:$B,2,FALSE),"")</f>
        <v/>
      </c>
    </row>
    <row r="157">
      <c r="A157">
        <f>IF(B157="","",ROW()-1)</f>
        <v/>
      </c>
      <c r="C157">
        <f>IFERROR(VLOOKUP(B157,Brands!$A:$B,2,FALSE),"")</f>
        <v/>
      </c>
    </row>
    <row r="158">
      <c r="A158">
        <f>IF(B158="","",ROW()-1)</f>
        <v/>
      </c>
      <c r="C158">
        <f>IFERROR(VLOOKUP(B158,Brands!$A:$B,2,FALSE),"")</f>
        <v/>
      </c>
    </row>
    <row r="159">
      <c r="A159">
        <f>IF(B159="","",ROW()-1)</f>
        <v/>
      </c>
      <c r="C159">
        <f>IFERROR(VLOOKUP(B159,Brands!$A:$B,2,FALSE),"")</f>
        <v/>
      </c>
    </row>
    <row r="160">
      <c r="A160">
        <f>IF(B160="","",ROW()-1)</f>
        <v/>
      </c>
      <c r="C160">
        <f>IFERROR(VLOOKUP(B160,Brands!$A:$B,2,FALSE),"")</f>
        <v/>
      </c>
    </row>
    <row r="161">
      <c r="A161">
        <f>IF(B161="","",ROW()-1)</f>
        <v/>
      </c>
      <c r="C161">
        <f>IFERROR(VLOOKUP(B161,Brands!$A:$B,2,FALSE),"")</f>
        <v/>
      </c>
    </row>
    <row r="162">
      <c r="A162">
        <f>IF(B162="","",ROW()-1)</f>
        <v/>
      </c>
      <c r="C162">
        <f>IFERROR(VLOOKUP(B162,Brands!$A:$B,2,FALSE),"")</f>
        <v/>
      </c>
    </row>
    <row r="163">
      <c r="A163">
        <f>IF(B163="","",ROW()-1)</f>
        <v/>
      </c>
      <c r="C163">
        <f>IFERROR(VLOOKUP(B163,Brands!$A:$B,2,FALSE),"")</f>
        <v/>
      </c>
    </row>
    <row r="164">
      <c r="A164">
        <f>IF(B164="","",ROW()-1)</f>
        <v/>
      </c>
      <c r="C164">
        <f>IFERROR(VLOOKUP(B164,Brands!$A:$B,2,FALSE),"")</f>
        <v/>
      </c>
    </row>
    <row r="165">
      <c r="A165">
        <f>IF(B165="","",ROW()-1)</f>
        <v/>
      </c>
      <c r="C165">
        <f>IFERROR(VLOOKUP(B165,Brands!$A:$B,2,FALSE),"")</f>
        <v/>
      </c>
    </row>
    <row r="166">
      <c r="A166">
        <f>IF(B166="","",ROW()-1)</f>
        <v/>
      </c>
      <c r="C166">
        <f>IFERROR(VLOOKUP(B166,Brands!$A:$B,2,FALSE),"")</f>
        <v/>
      </c>
    </row>
    <row r="167">
      <c r="A167">
        <f>IF(B167="","",ROW()-1)</f>
        <v/>
      </c>
      <c r="C167">
        <f>IFERROR(VLOOKUP(B167,Brands!$A:$B,2,FALSE),"")</f>
        <v/>
      </c>
    </row>
    <row r="168">
      <c r="A168">
        <f>IF(B168="","",ROW()-1)</f>
        <v/>
      </c>
      <c r="C168">
        <f>IFERROR(VLOOKUP(B168,Brands!$A:$B,2,FALSE),"")</f>
        <v/>
      </c>
    </row>
    <row r="169">
      <c r="A169">
        <f>IF(B169="","",ROW()-1)</f>
        <v/>
      </c>
      <c r="C169">
        <f>IFERROR(VLOOKUP(B169,Brands!$A:$B,2,FALSE),"")</f>
        <v/>
      </c>
    </row>
    <row r="170">
      <c r="A170">
        <f>IF(B170="","",ROW()-1)</f>
        <v/>
      </c>
      <c r="C170">
        <f>IFERROR(VLOOKUP(B170,Brands!$A:$B,2,FALSE),"")</f>
        <v/>
      </c>
    </row>
    <row r="171">
      <c r="A171">
        <f>IF(B171="","",ROW()-1)</f>
        <v/>
      </c>
      <c r="C171">
        <f>IFERROR(VLOOKUP(B171,Brands!$A:$B,2,FALSE),"")</f>
        <v/>
      </c>
    </row>
    <row r="172">
      <c r="A172">
        <f>IF(B172="","",ROW()-1)</f>
        <v/>
      </c>
      <c r="C172">
        <f>IFERROR(VLOOKUP(B172,Brands!$A:$B,2,FALSE),"")</f>
        <v/>
      </c>
    </row>
    <row r="173">
      <c r="A173">
        <f>IF(B173="","",ROW()-1)</f>
        <v/>
      </c>
      <c r="C173">
        <f>IFERROR(VLOOKUP(B173,Brands!$A:$B,2,FALSE),"")</f>
        <v/>
      </c>
    </row>
    <row r="174">
      <c r="A174">
        <f>IF(B174="","",ROW()-1)</f>
        <v/>
      </c>
      <c r="C174">
        <f>IFERROR(VLOOKUP(B174,Brands!$A:$B,2,FALSE),"")</f>
        <v/>
      </c>
    </row>
    <row r="175">
      <c r="A175">
        <f>IF(B175="","",ROW()-1)</f>
        <v/>
      </c>
      <c r="C175">
        <f>IFERROR(VLOOKUP(B175,Brands!$A:$B,2,FALSE),"")</f>
        <v/>
      </c>
    </row>
    <row r="176">
      <c r="A176">
        <f>IF(B176="","",ROW()-1)</f>
        <v/>
      </c>
      <c r="C176">
        <f>IFERROR(VLOOKUP(B176,Brands!$A:$B,2,FALSE),"")</f>
        <v/>
      </c>
    </row>
    <row r="177">
      <c r="A177">
        <f>IF(B177="","",ROW()-1)</f>
        <v/>
      </c>
      <c r="C177">
        <f>IFERROR(VLOOKUP(B177,Brands!$A:$B,2,FALSE),"")</f>
        <v/>
      </c>
    </row>
    <row r="178">
      <c r="A178">
        <f>IF(B178="","",ROW()-1)</f>
        <v/>
      </c>
      <c r="C178">
        <f>IFERROR(VLOOKUP(B178,Brands!$A:$B,2,FALSE),"")</f>
        <v/>
      </c>
    </row>
    <row r="179">
      <c r="A179">
        <f>IF(B179="","",ROW()-1)</f>
        <v/>
      </c>
      <c r="C179">
        <f>IFERROR(VLOOKUP(B179,Brands!$A:$B,2,FALSE),"")</f>
        <v/>
      </c>
    </row>
    <row r="180">
      <c r="A180">
        <f>IF(B180="","",ROW()-1)</f>
        <v/>
      </c>
      <c r="C180">
        <f>IFERROR(VLOOKUP(B180,Brands!$A:$B,2,FALSE),"")</f>
        <v/>
      </c>
    </row>
    <row r="181">
      <c r="A181">
        <f>IF(B181="","",ROW()-1)</f>
        <v/>
      </c>
      <c r="C181">
        <f>IFERROR(VLOOKUP(B181,Brands!$A:$B,2,FALSE),"")</f>
        <v/>
      </c>
    </row>
    <row r="182">
      <c r="A182">
        <f>IF(B182="","",ROW()-1)</f>
        <v/>
      </c>
      <c r="C182">
        <f>IFERROR(VLOOKUP(B182,Brands!$A:$B,2,FALSE),"")</f>
        <v/>
      </c>
    </row>
    <row r="183">
      <c r="A183">
        <f>IF(B183="","",ROW()-1)</f>
        <v/>
      </c>
      <c r="C183">
        <f>IFERROR(VLOOKUP(B183,Brands!$A:$B,2,FALSE),"")</f>
        <v/>
      </c>
    </row>
    <row r="184">
      <c r="A184">
        <f>IF(B184="","",ROW()-1)</f>
        <v/>
      </c>
      <c r="C184">
        <f>IFERROR(VLOOKUP(B184,Brands!$A:$B,2,FALSE),"")</f>
        <v/>
      </c>
    </row>
    <row r="185">
      <c r="A185">
        <f>IF(B185="","",ROW()-1)</f>
        <v/>
      </c>
      <c r="C185">
        <f>IFERROR(VLOOKUP(B185,Brands!$A:$B,2,FALSE),"")</f>
        <v/>
      </c>
    </row>
    <row r="186">
      <c r="A186">
        <f>IF(B186="","",ROW()-1)</f>
        <v/>
      </c>
      <c r="C186">
        <f>IFERROR(VLOOKUP(B186,Brands!$A:$B,2,FALSE),"")</f>
        <v/>
      </c>
    </row>
    <row r="187">
      <c r="A187">
        <f>IF(B187="","",ROW()-1)</f>
        <v/>
      </c>
      <c r="C187">
        <f>IFERROR(VLOOKUP(B187,Brands!$A:$B,2,FALSE),"")</f>
        <v/>
      </c>
    </row>
    <row r="188">
      <c r="A188">
        <f>IF(B188="","",ROW()-1)</f>
        <v/>
      </c>
      <c r="C188">
        <f>IFERROR(VLOOKUP(B188,Brands!$A:$B,2,FALSE),"")</f>
        <v/>
      </c>
    </row>
    <row r="189">
      <c r="A189">
        <f>IF(B189="","",ROW()-1)</f>
        <v/>
      </c>
      <c r="C189">
        <f>IFERROR(VLOOKUP(B189,Brands!$A:$B,2,FALSE),"")</f>
        <v/>
      </c>
    </row>
    <row r="190">
      <c r="A190">
        <f>IF(B190="","",ROW()-1)</f>
        <v/>
      </c>
      <c r="C190">
        <f>IFERROR(VLOOKUP(B190,Brands!$A:$B,2,FALSE),"")</f>
        <v/>
      </c>
    </row>
    <row r="191">
      <c r="A191">
        <f>IF(B191="","",ROW()-1)</f>
        <v/>
      </c>
      <c r="C191">
        <f>IFERROR(VLOOKUP(B191,Brands!$A:$B,2,FALSE),"")</f>
        <v/>
      </c>
    </row>
    <row r="192">
      <c r="A192">
        <f>IF(B192="","",ROW()-1)</f>
        <v/>
      </c>
      <c r="C192">
        <f>IFERROR(VLOOKUP(B192,Brands!$A:$B,2,FALSE),"")</f>
        <v/>
      </c>
    </row>
    <row r="193">
      <c r="A193">
        <f>IF(B193="","",ROW()-1)</f>
        <v/>
      </c>
      <c r="C193">
        <f>IFERROR(VLOOKUP(B193,Brands!$A:$B,2,FALSE),"")</f>
        <v/>
      </c>
    </row>
    <row r="194">
      <c r="A194">
        <f>IF(B194="","",ROW()-1)</f>
        <v/>
      </c>
      <c r="C194">
        <f>IFERROR(VLOOKUP(B194,Brands!$A:$B,2,FALSE),"")</f>
        <v/>
      </c>
    </row>
    <row r="195">
      <c r="A195">
        <f>IF(B195="","",ROW()-1)</f>
        <v/>
      </c>
      <c r="C195">
        <f>IFERROR(VLOOKUP(B195,Brands!$A:$B,2,FALSE),"")</f>
        <v/>
      </c>
    </row>
    <row r="196">
      <c r="A196">
        <f>IF(B196="","",ROW()-1)</f>
        <v/>
      </c>
      <c r="C196">
        <f>IFERROR(VLOOKUP(B196,Brands!$A:$B,2,FALSE),"")</f>
        <v/>
      </c>
    </row>
    <row r="197">
      <c r="A197">
        <f>IF(B197="","",ROW()-1)</f>
        <v/>
      </c>
      <c r="C197">
        <f>IFERROR(VLOOKUP(B197,Brands!$A:$B,2,FALSE),"")</f>
        <v/>
      </c>
    </row>
    <row r="198">
      <c r="A198">
        <f>IF(B198="","",ROW()-1)</f>
        <v/>
      </c>
      <c r="C198">
        <f>IFERROR(VLOOKUP(B198,Brands!$A:$B,2,FALSE),"")</f>
        <v/>
      </c>
    </row>
    <row r="199">
      <c r="A199">
        <f>IF(B199="","",ROW()-1)</f>
        <v/>
      </c>
      <c r="C199">
        <f>IFERROR(VLOOKUP(B199,Brands!$A:$B,2,FALSE),"")</f>
        <v/>
      </c>
    </row>
    <row r="200">
      <c r="A200">
        <f>IF(B200="","",ROW()-1)</f>
        <v/>
      </c>
      <c r="C200">
        <f>IFERROR(VLOOKUP(B200,Brands!$A:$B,2,FALSE),"")</f>
        <v/>
      </c>
    </row>
    <row r="201">
      <c r="A201">
        <f>IF(B201="","",ROW()-1)</f>
        <v/>
      </c>
      <c r="C201">
        <f>IFERROR(VLOOKUP(B201,Brands!$A:$B,2,FALSE),"")</f>
        <v/>
      </c>
    </row>
    <row r="202">
      <c r="A202">
        <f>IF(B202="","",ROW()-1)</f>
        <v/>
      </c>
      <c r="C202">
        <f>IFERROR(VLOOKUP(B202,Brands!$A:$B,2,FALSE),"")</f>
        <v/>
      </c>
    </row>
    <row r="203">
      <c r="A203">
        <f>IF(B203="","",ROW()-1)</f>
        <v/>
      </c>
      <c r="C203">
        <f>IFERROR(VLOOKUP(B203,Brands!$A:$B,2,FALSE),"")</f>
        <v/>
      </c>
    </row>
    <row r="204">
      <c r="A204">
        <f>IF(B204="","",ROW()-1)</f>
        <v/>
      </c>
      <c r="C204">
        <f>IFERROR(VLOOKUP(B204,Brands!$A:$B,2,FALSE),"")</f>
        <v/>
      </c>
    </row>
    <row r="205">
      <c r="A205">
        <f>IF(B205="","",ROW()-1)</f>
        <v/>
      </c>
      <c r="C205">
        <f>IFERROR(VLOOKUP(B205,Brands!$A:$B,2,FALSE),"")</f>
        <v/>
      </c>
    </row>
    <row r="206">
      <c r="A206">
        <f>IF(B206="","",ROW()-1)</f>
        <v/>
      </c>
      <c r="C206">
        <f>IFERROR(VLOOKUP(B206,Brands!$A:$B,2,FALSE),"")</f>
        <v/>
      </c>
    </row>
    <row r="207">
      <c r="A207">
        <f>IF(B207="","",ROW()-1)</f>
        <v/>
      </c>
      <c r="C207">
        <f>IFERROR(VLOOKUP(B207,Brands!$A:$B,2,FALSE),"")</f>
        <v/>
      </c>
    </row>
    <row r="208">
      <c r="A208">
        <f>IF(B208="","",ROW()-1)</f>
        <v/>
      </c>
      <c r="C208">
        <f>IFERROR(VLOOKUP(B208,Brands!$A:$B,2,FALSE),"")</f>
        <v/>
      </c>
    </row>
    <row r="209">
      <c r="A209">
        <f>IF(B209="","",ROW()-1)</f>
        <v/>
      </c>
      <c r="C209">
        <f>IFERROR(VLOOKUP(B209,Brands!$A:$B,2,FALSE),"")</f>
        <v/>
      </c>
    </row>
    <row r="210">
      <c r="A210">
        <f>IF(B210="","",ROW()-1)</f>
        <v/>
      </c>
      <c r="C210">
        <f>IFERROR(VLOOKUP(B210,Brands!$A:$B,2,FALSE),"")</f>
        <v/>
      </c>
    </row>
    <row r="211">
      <c r="A211">
        <f>IF(B211="","",ROW()-1)</f>
        <v/>
      </c>
      <c r="C211">
        <f>IFERROR(VLOOKUP(B211,Brands!$A:$B,2,FALSE),"")</f>
        <v/>
      </c>
    </row>
    <row r="212">
      <c r="A212">
        <f>IF(B212="","",ROW()-1)</f>
        <v/>
      </c>
      <c r="C212">
        <f>IFERROR(VLOOKUP(B212,Brands!$A:$B,2,FALSE),"")</f>
        <v/>
      </c>
    </row>
    <row r="213">
      <c r="A213">
        <f>IF(B213="","",ROW()-1)</f>
        <v/>
      </c>
      <c r="C213">
        <f>IFERROR(VLOOKUP(B213,Brands!$A:$B,2,FALSE),"")</f>
        <v/>
      </c>
    </row>
    <row r="214">
      <c r="A214">
        <f>IF(B214="","",ROW()-1)</f>
        <v/>
      </c>
      <c r="C214">
        <f>IFERROR(VLOOKUP(B214,Brands!$A:$B,2,FALSE),"")</f>
        <v/>
      </c>
    </row>
    <row r="215">
      <c r="A215">
        <f>IF(B215="","",ROW()-1)</f>
        <v/>
      </c>
      <c r="C215">
        <f>IFERROR(VLOOKUP(B215,Brands!$A:$B,2,FALSE),"")</f>
        <v/>
      </c>
    </row>
    <row r="216">
      <c r="A216">
        <f>IF(B216="","",ROW()-1)</f>
        <v/>
      </c>
      <c r="C216">
        <f>IFERROR(VLOOKUP(B216,Brands!$A:$B,2,FALSE),"")</f>
        <v/>
      </c>
    </row>
    <row r="217">
      <c r="A217">
        <f>IF(B217="","",ROW()-1)</f>
        <v/>
      </c>
      <c r="C217">
        <f>IFERROR(VLOOKUP(B217,Brands!$A:$B,2,FALSE),"")</f>
        <v/>
      </c>
    </row>
    <row r="218">
      <c r="A218">
        <f>IF(B218="","",ROW()-1)</f>
        <v/>
      </c>
      <c r="C218">
        <f>IFERROR(VLOOKUP(B218,Brands!$A:$B,2,FALSE),"")</f>
        <v/>
      </c>
    </row>
    <row r="219">
      <c r="A219">
        <f>IF(B219="","",ROW()-1)</f>
        <v/>
      </c>
      <c r="C219">
        <f>IFERROR(VLOOKUP(B219,Brands!$A:$B,2,FALSE),"")</f>
        <v/>
      </c>
    </row>
    <row r="220">
      <c r="A220">
        <f>IF(B220="","",ROW()-1)</f>
        <v/>
      </c>
      <c r="C220">
        <f>IFERROR(VLOOKUP(B220,Brands!$A:$B,2,FALSE),"")</f>
        <v/>
      </c>
    </row>
    <row r="221">
      <c r="A221">
        <f>IF(B221="","",ROW()-1)</f>
        <v/>
      </c>
      <c r="C221">
        <f>IFERROR(VLOOKUP(B221,Brands!$A:$B,2,FALSE),"")</f>
        <v/>
      </c>
    </row>
    <row r="222">
      <c r="A222">
        <f>IF(B222="","",ROW()-1)</f>
        <v/>
      </c>
      <c r="C222">
        <f>IFERROR(VLOOKUP(B222,Brands!$A:$B,2,FALSE),"")</f>
        <v/>
      </c>
    </row>
    <row r="223">
      <c r="A223">
        <f>IF(B223="","",ROW()-1)</f>
        <v/>
      </c>
      <c r="C223">
        <f>IFERROR(VLOOKUP(B223,Brands!$A:$B,2,FALSE),"")</f>
        <v/>
      </c>
    </row>
    <row r="224">
      <c r="A224">
        <f>IF(B224="","",ROW()-1)</f>
        <v/>
      </c>
      <c r="C224">
        <f>IFERROR(VLOOKUP(B224,Brands!$A:$B,2,FALSE),"")</f>
        <v/>
      </c>
    </row>
    <row r="225">
      <c r="A225">
        <f>IF(B225="","",ROW()-1)</f>
        <v/>
      </c>
      <c r="C225">
        <f>IFERROR(VLOOKUP(B225,Brands!$A:$B,2,FALSE),"")</f>
        <v/>
      </c>
    </row>
    <row r="226">
      <c r="A226">
        <f>IF(B226="","",ROW()-1)</f>
        <v/>
      </c>
      <c r="C226">
        <f>IFERROR(VLOOKUP(B226,Brands!$A:$B,2,FALSE),"")</f>
        <v/>
      </c>
    </row>
    <row r="227">
      <c r="A227">
        <f>IF(B227="","",ROW()-1)</f>
        <v/>
      </c>
      <c r="C227">
        <f>IFERROR(VLOOKUP(B227,Brands!$A:$B,2,FALSE),"")</f>
        <v/>
      </c>
    </row>
    <row r="228">
      <c r="A228">
        <f>IF(B228="","",ROW()-1)</f>
        <v/>
      </c>
      <c r="C228">
        <f>IFERROR(VLOOKUP(B228,Brands!$A:$B,2,FALSE),"")</f>
        <v/>
      </c>
    </row>
    <row r="229">
      <c r="A229">
        <f>IF(B229="","",ROW()-1)</f>
        <v/>
      </c>
      <c r="C229">
        <f>IFERROR(VLOOKUP(B229,Brands!$A:$B,2,FALSE),"")</f>
        <v/>
      </c>
    </row>
    <row r="230">
      <c r="A230">
        <f>IF(B230="","",ROW()-1)</f>
        <v/>
      </c>
      <c r="C230">
        <f>IFERROR(VLOOKUP(B230,Brands!$A:$B,2,FALSE),"")</f>
        <v/>
      </c>
    </row>
    <row r="231">
      <c r="A231">
        <f>IF(B231="","",ROW()-1)</f>
        <v/>
      </c>
      <c r="C231">
        <f>IFERROR(VLOOKUP(B231,Brands!$A:$B,2,FALSE),"")</f>
        <v/>
      </c>
    </row>
    <row r="232">
      <c r="A232">
        <f>IF(B232="","",ROW()-1)</f>
        <v/>
      </c>
      <c r="C232">
        <f>IFERROR(VLOOKUP(B232,Brands!$A:$B,2,FALSE),"")</f>
        <v/>
      </c>
    </row>
    <row r="233">
      <c r="A233">
        <f>IF(B233="","",ROW()-1)</f>
        <v/>
      </c>
      <c r="C233">
        <f>IFERROR(VLOOKUP(B233,Brands!$A:$B,2,FALSE),"")</f>
        <v/>
      </c>
    </row>
    <row r="234">
      <c r="A234">
        <f>IF(B234="","",ROW()-1)</f>
        <v/>
      </c>
      <c r="C234">
        <f>IFERROR(VLOOKUP(B234,Brands!$A:$B,2,FALSE),"")</f>
        <v/>
      </c>
    </row>
    <row r="235">
      <c r="A235">
        <f>IF(B235="","",ROW()-1)</f>
        <v/>
      </c>
      <c r="C235">
        <f>IFERROR(VLOOKUP(B235,Brands!$A:$B,2,FALSE),"")</f>
        <v/>
      </c>
    </row>
    <row r="236">
      <c r="A236">
        <f>IF(B236="","",ROW()-1)</f>
        <v/>
      </c>
      <c r="C236">
        <f>IFERROR(VLOOKUP(B236,Brands!$A:$B,2,FALSE),"")</f>
        <v/>
      </c>
    </row>
    <row r="237">
      <c r="A237">
        <f>IF(B237="","",ROW()-1)</f>
        <v/>
      </c>
      <c r="C237">
        <f>IFERROR(VLOOKUP(B237,Brands!$A:$B,2,FALSE),"")</f>
        <v/>
      </c>
    </row>
    <row r="238">
      <c r="A238">
        <f>IF(B238="","",ROW()-1)</f>
        <v/>
      </c>
      <c r="C238">
        <f>IFERROR(VLOOKUP(B238,Brands!$A:$B,2,FALSE),"")</f>
        <v/>
      </c>
    </row>
    <row r="239">
      <c r="A239">
        <f>IF(B239="","",ROW()-1)</f>
        <v/>
      </c>
      <c r="C239">
        <f>IFERROR(VLOOKUP(B239,Brands!$A:$B,2,FALSE),"")</f>
        <v/>
      </c>
    </row>
    <row r="240">
      <c r="A240">
        <f>IF(B240="","",ROW()-1)</f>
        <v/>
      </c>
      <c r="C240">
        <f>IFERROR(VLOOKUP(B240,Brands!$A:$B,2,FALSE),"")</f>
        <v/>
      </c>
    </row>
    <row r="241">
      <c r="A241">
        <f>IF(B241="","",ROW()-1)</f>
        <v/>
      </c>
      <c r="C241">
        <f>IFERROR(VLOOKUP(B241,Brands!$A:$B,2,FALSE),"")</f>
        <v/>
      </c>
    </row>
    <row r="242">
      <c r="A242">
        <f>IF(B242="","",ROW()-1)</f>
        <v/>
      </c>
      <c r="C242">
        <f>IFERROR(VLOOKUP(B242,Brands!$A:$B,2,FALSE),"")</f>
        <v/>
      </c>
    </row>
    <row r="243">
      <c r="A243">
        <f>IF(B243="","",ROW()-1)</f>
        <v/>
      </c>
      <c r="C243">
        <f>IFERROR(VLOOKUP(B243,Brands!$A:$B,2,FALSE),"")</f>
        <v/>
      </c>
    </row>
    <row r="244">
      <c r="A244">
        <f>IF(B244="","",ROW()-1)</f>
        <v/>
      </c>
      <c r="C244">
        <f>IFERROR(VLOOKUP(B244,Brands!$A:$B,2,FALSE),"")</f>
        <v/>
      </c>
    </row>
    <row r="245">
      <c r="A245">
        <f>IF(B245="","",ROW()-1)</f>
        <v/>
      </c>
      <c r="C245">
        <f>IFERROR(VLOOKUP(B245,Brands!$A:$B,2,FALSE),"")</f>
        <v/>
      </c>
    </row>
    <row r="246">
      <c r="A246">
        <f>IF(B246="","",ROW()-1)</f>
        <v/>
      </c>
      <c r="C246">
        <f>IFERROR(VLOOKUP(B246,Brands!$A:$B,2,FALSE),"")</f>
        <v/>
      </c>
    </row>
    <row r="247">
      <c r="A247">
        <f>IF(B247="","",ROW()-1)</f>
        <v/>
      </c>
      <c r="C247">
        <f>IFERROR(VLOOKUP(B247,Brands!$A:$B,2,FALSE),"")</f>
        <v/>
      </c>
    </row>
    <row r="248">
      <c r="A248">
        <f>IF(B248="","",ROW()-1)</f>
        <v/>
      </c>
      <c r="C248">
        <f>IFERROR(VLOOKUP(B248,Brands!$A:$B,2,FALSE),"")</f>
        <v/>
      </c>
    </row>
    <row r="249">
      <c r="A249">
        <f>IF(B249="","",ROW()-1)</f>
        <v/>
      </c>
      <c r="C249">
        <f>IFERROR(VLOOKUP(B249,Brands!$A:$B,2,FALSE),"")</f>
        <v/>
      </c>
    </row>
    <row r="250">
      <c r="A250">
        <f>IF(B250="","",ROW()-1)</f>
        <v/>
      </c>
      <c r="C250">
        <f>IFERROR(VLOOKUP(B250,Brands!$A:$B,2,FALSE),"")</f>
        <v/>
      </c>
    </row>
    <row r="251">
      <c r="A251">
        <f>IF(B251="","",ROW()-1)</f>
        <v/>
      </c>
      <c r="C251">
        <f>IFERROR(VLOOKUP(B251,Brands!$A:$B,2,FALSE),"")</f>
        <v/>
      </c>
    </row>
    <row r="252">
      <c r="A252">
        <f>IF(B252="","",ROW()-1)</f>
        <v/>
      </c>
      <c r="C252">
        <f>IFERROR(VLOOKUP(B252,Brands!$A:$B,2,FALSE),"")</f>
        <v/>
      </c>
    </row>
    <row r="253">
      <c r="A253">
        <f>IF(B253="","",ROW()-1)</f>
        <v/>
      </c>
      <c r="C253">
        <f>IFERROR(VLOOKUP(B253,Brands!$A:$B,2,FALSE),"")</f>
        <v/>
      </c>
    </row>
    <row r="254">
      <c r="A254">
        <f>IF(B254="","",ROW()-1)</f>
        <v/>
      </c>
      <c r="C254">
        <f>IFERROR(VLOOKUP(B254,Brands!$A:$B,2,FALSE),"")</f>
        <v/>
      </c>
    </row>
    <row r="255">
      <c r="A255">
        <f>IF(B255="","",ROW()-1)</f>
        <v/>
      </c>
      <c r="C255">
        <f>IFERROR(VLOOKUP(B255,Brands!$A:$B,2,FALSE),"")</f>
        <v/>
      </c>
    </row>
    <row r="256">
      <c r="A256">
        <f>IF(B256="","",ROW()-1)</f>
        <v/>
      </c>
      <c r="C256">
        <f>IFERROR(VLOOKUP(B256,Brands!$A:$B,2,FALSE),"")</f>
        <v/>
      </c>
    </row>
    <row r="257">
      <c r="A257">
        <f>IF(B257="","",ROW()-1)</f>
        <v/>
      </c>
      <c r="C257">
        <f>IFERROR(VLOOKUP(B257,Brands!$A:$B,2,FALSE),"")</f>
        <v/>
      </c>
    </row>
    <row r="258">
      <c r="A258">
        <f>IF(B258="","",ROW()-1)</f>
        <v/>
      </c>
      <c r="C258">
        <f>IFERROR(VLOOKUP(B258,Brands!$A:$B,2,FALSE),"")</f>
        <v/>
      </c>
    </row>
    <row r="259">
      <c r="A259">
        <f>IF(B259="","",ROW()-1)</f>
        <v/>
      </c>
      <c r="C259">
        <f>IFERROR(VLOOKUP(B259,Brands!$A:$B,2,FALSE),"")</f>
        <v/>
      </c>
    </row>
    <row r="260">
      <c r="A260">
        <f>IF(B260="","",ROW()-1)</f>
        <v/>
      </c>
      <c r="C260">
        <f>IFERROR(VLOOKUP(B260,Brands!$A:$B,2,FALSE),"")</f>
        <v/>
      </c>
    </row>
    <row r="261">
      <c r="A261">
        <f>IF(B261="","",ROW()-1)</f>
        <v/>
      </c>
      <c r="C261">
        <f>IFERROR(VLOOKUP(B261,Brands!$A:$B,2,FALSE),"")</f>
        <v/>
      </c>
    </row>
    <row r="262">
      <c r="A262">
        <f>IF(B262="","",ROW()-1)</f>
        <v/>
      </c>
      <c r="C262">
        <f>IFERROR(VLOOKUP(B262,Brands!$A:$B,2,FALSE),"")</f>
        <v/>
      </c>
    </row>
    <row r="263">
      <c r="A263">
        <f>IF(B263="","",ROW()-1)</f>
        <v/>
      </c>
      <c r="C263">
        <f>IFERROR(VLOOKUP(B263,Brands!$A:$B,2,FALSE),"")</f>
        <v/>
      </c>
    </row>
    <row r="264">
      <c r="A264">
        <f>IF(B264="","",ROW()-1)</f>
        <v/>
      </c>
      <c r="C264">
        <f>IFERROR(VLOOKUP(B264,Brands!$A:$B,2,FALSE),"")</f>
        <v/>
      </c>
    </row>
    <row r="265">
      <c r="A265">
        <f>IF(B265="","",ROW()-1)</f>
        <v/>
      </c>
      <c r="C265">
        <f>IFERROR(VLOOKUP(B265,Brands!$A:$B,2,FALSE),"")</f>
        <v/>
      </c>
    </row>
    <row r="266">
      <c r="A266">
        <f>IF(B266="","",ROW()-1)</f>
        <v/>
      </c>
      <c r="C266">
        <f>IFERROR(VLOOKUP(B266,Brands!$A:$B,2,FALSE),"")</f>
        <v/>
      </c>
    </row>
    <row r="267">
      <c r="A267">
        <f>IF(B267="","",ROW()-1)</f>
        <v/>
      </c>
      <c r="C267">
        <f>IFERROR(VLOOKUP(B267,Brands!$A:$B,2,FALSE),"")</f>
        <v/>
      </c>
    </row>
    <row r="268">
      <c r="A268">
        <f>IF(B268="","",ROW()-1)</f>
        <v/>
      </c>
      <c r="C268">
        <f>IFERROR(VLOOKUP(B268,Brands!$A:$B,2,FALSE),"")</f>
        <v/>
      </c>
    </row>
    <row r="269">
      <c r="A269">
        <f>IF(B269="","",ROW()-1)</f>
        <v/>
      </c>
      <c r="C269">
        <f>IFERROR(VLOOKUP(B269,Brands!$A:$B,2,FALSE),"")</f>
        <v/>
      </c>
    </row>
    <row r="270">
      <c r="A270">
        <f>IF(B270="","",ROW()-1)</f>
        <v/>
      </c>
      <c r="C270">
        <f>IFERROR(VLOOKUP(B270,Brands!$A:$B,2,FALSE),"")</f>
        <v/>
      </c>
    </row>
    <row r="271">
      <c r="A271">
        <f>IF(B271="","",ROW()-1)</f>
        <v/>
      </c>
      <c r="C271">
        <f>IFERROR(VLOOKUP(B271,Brands!$A:$B,2,FALSE),"")</f>
        <v/>
      </c>
    </row>
    <row r="272">
      <c r="A272">
        <f>IF(B272="","",ROW()-1)</f>
        <v/>
      </c>
      <c r="C272">
        <f>IFERROR(VLOOKUP(B272,Brands!$A:$B,2,FALSE),"")</f>
        <v/>
      </c>
    </row>
    <row r="273">
      <c r="A273">
        <f>IF(B273="","",ROW()-1)</f>
        <v/>
      </c>
      <c r="C273">
        <f>IFERROR(VLOOKUP(B273,Brands!$A:$B,2,FALSE),"")</f>
        <v/>
      </c>
    </row>
    <row r="274">
      <c r="A274">
        <f>IF(B274="","",ROW()-1)</f>
        <v/>
      </c>
      <c r="C274">
        <f>IFERROR(VLOOKUP(B274,Brands!$A:$B,2,FALSE),"")</f>
        <v/>
      </c>
    </row>
    <row r="275">
      <c r="A275">
        <f>IF(B275="","",ROW()-1)</f>
        <v/>
      </c>
      <c r="C275">
        <f>IFERROR(VLOOKUP(B275,Brands!$A:$B,2,FALSE),"")</f>
        <v/>
      </c>
    </row>
    <row r="276">
      <c r="A276">
        <f>IF(B276="","",ROW()-1)</f>
        <v/>
      </c>
      <c r="C276">
        <f>IFERROR(VLOOKUP(B276,Brands!$A:$B,2,FALSE),"")</f>
        <v/>
      </c>
    </row>
    <row r="277">
      <c r="A277">
        <f>IF(B277="","",ROW()-1)</f>
        <v/>
      </c>
      <c r="C277">
        <f>IFERROR(VLOOKUP(B277,Brands!$A:$B,2,FALSE),"")</f>
        <v/>
      </c>
    </row>
    <row r="278">
      <c r="A278">
        <f>IF(B278="","",ROW()-1)</f>
        <v/>
      </c>
      <c r="C278">
        <f>IFERROR(VLOOKUP(B278,Brands!$A:$B,2,FALSE),"")</f>
        <v/>
      </c>
    </row>
    <row r="279">
      <c r="A279">
        <f>IF(B279="","",ROW()-1)</f>
        <v/>
      </c>
      <c r="C279">
        <f>IFERROR(VLOOKUP(B279,Brands!$A:$B,2,FALSE),"")</f>
        <v/>
      </c>
    </row>
    <row r="280">
      <c r="A280">
        <f>IF(B280="","",ROW()-1)</f>
        <v/>
      </c>
      <c r="C280">
        <f>IFERROR(VLOOKUP(B280,Brands!$A:$B,2,FALSE),"")</f>
        <v/>
      </c>
    </row>
    <row r="281">
      <c r="A281">
        <f>IF(B281="","",ROW()-1)</f>
        <v/>
      </c>
      <c r="C281">
        <f>IFERROR(VLOOKUP(B281,Brands!$A:$B,2,FALSE),"")</f>
        <v/>
      </c>
    </row>
    <row r="282">
      <c r="A282">
        <f>IF(B282="","",ROW()-1)</f>
        <v/>
      </c>
      <c r="C282">
        <f>IFERROR(VLOOKUP(B282,Brands!$A:$B,2,FALSE),"")</f>
        <v/>
      </c>
    </row>
    <row r="283">
      <c r="A283">
        <f>IF(B283="","",ROW()-1)</f>
        <v/>
      </c>
      <c r="C283">
        <f>IFERROR(VLOOKUP(B283,Brands!$A:$B,2,FALSE),"")</f>
        <v/>
      </c>
    </row>
    <row r="284">
      <c r="A284">
        <f>IF(B284="","",ROW()-1)</f>
        <v/>
      </c>
      <c r="C284">
        <f>IFERROR(VLOOKUP(B284,Brands!$A:$B,2,FALSE),"")</f>
        <v/>
      </c>
    </row>
    <row r="285">
      <c r="A285">
        <f>IF(B285="","",ROW()-1)</f>
        <v/>
      </c>
      <c r="C285">
        <f>IFERROR(VLOOKUP(B285,Brands!$A:$B,2,FALSE),"")</f>
        <v/>
      </c>
    </row>
    <row r="286">
      <c r="A286">
        <f>IF(B286="","",ROW()-1)</f>
        <v/>
      </c>
      <c r="C286">
        <f>IFERROR(VLOOKUP(B286,Brands!$A:$B,2,FALSE),"")</f>
        <v/>
      </c>
    </row>
    <row r="287">
      <c r="A287">
        <f>IF(B287="","",ROW()-1)</f>
        <v/>
      </c>
      <c r="C287">
        <f>IFERROR(VLOOKUP(B287,Brands!$A:$B,2,FALSE),"")</f>
        <v/>
      </c>
    </row>
    <row r="288">
      <c r="A288">
        <f>IF(B288="","",ROW()-1)</f>
        <v/>
      </c>
      <c r="C288">
        <f>IFERROR(VLOOKUP(B288,Brands!$A:$B,2,FALSE),"")</f>
        <v/>
      </c>
    </row>
    <row r="289">
      <c r="A289">
        <f>IF(B289="","",ROW()-1)</f>
        <v/>
      </c>
      <c r="C289">
        <f>IFERROR(VLOOKUP(B289,Brands!$A:$B,2,FALSE),"")</f>
        <v/>
      </c>
    </row>
    <row r="290">
      <c r="A290">
        <f>IF(B290="","",ROW()-1)</f>
        <v/>
      </c>
      <c r="C290">
        <f>IFERROR(VLOOKUP(B290,Brands!$A:$B,2,FALSE),"")</f>
        <v/>
      </c>
    </row>
    <row r="291">
      <c r="A291">
        <f>IF(B291="","",ROW()-1)</f>
        <v/>
      </c>
      <c r="C291">
        <f>IFERROR(VLOOKUP(B291,Brands!$A:$B,2,FALSE),"")</f>
        <v/>
      </c>
    </row>
    <row r="292">
      <c r="A292">
        <f>IF(B292="","",ROW()-1)</f>
        <v/>
      </c>
      <c r="C292">
        <f>IFERROR(VLOOKUP(B292,Brands!$A:$B,2,FALSE),"")</f>
        <v/>
      </c>
    </row>
    <row r="293">
      <c r="A293">
        <f>IF(B293="","",ROW()-1)</f>
        <v/>
      </c>
      <c r="C293">
        <f>IFERROR(VLOOKUP(B293,Brands!$A:$B,2,FALSE),"")</f>
        <v/>
      </c>
    </row>
    <row r="294">
      <c r="A294">
        <f>IF(B294="","",ROW()-1)</f>
        <v/>
      </c>
      <c r="C294">
        <f>IFERROR(VLOOKUP(B294,Brands!$A:$B,2,FALSE),"")</f>
        <v/>
      </c>
    </row>
    <row r="295">
      <c r="A295">
        <f>IF(B295="","",ROW()-1)</f>
        <v/>
      </c>
      <c r="C295">
        <f>IFERROR(VLOOKUP(B295,Brands!$A:$B,2,FALSE),"")</f>
        <v/>
      </c>
    </row>
    <row r="296">
      <c r="A296">
        <f>IF(B296="","",ROW()-1)</f>
        <v/>
      </c>
      <c r="C296">
        <f>IFERROR(VLOOKUP(B296,Brands!$A:$B,2,FALSE),"")</f>
        <v/>
      </c>
    </row>
    <row r="297">
      <c r="A297">
        <f>IF(B297="","",ROW()-1)</f>
        <v/>
      </c>
      <c r="C297">
        <f>IFERROR(VLOOKUP(B297,Brands!$A:$B,2,FALSE),"")</f>
        <v/>
      </c>
    </row>
    <row r="298">
      <c r="A298">
        <f>IF(B298="","",ROW()-1)</f>
        <v/>
      </c>
      <c r="C298">
        <f>IFERROR(VLOOKUP(B298,Brands!$A:$B,2,FALSE),"")</f>
        <v/>
      </c>
    </row>
    <row r="299">
      <c r="A299">
        <f>IF(B299="","",ROW()-1)</f>
        <v/>
      </c>
      <c r="C299">
        <f>IFERROR(VLOOKUP(B299,Brands!$A:$B,2,FALSE),"")</f>
        <v/>
      </c>
    </row>
    <row r="300">
      <c r="A300">
        <f>IF(B300="","",ROW()-1)</f>
        <v/>
      </c>
      <c r="C300">
        <f>IFERROR(VLOOKUP(B300,Brands!$A:$B,2,FALSE),"")</f>
        <v/>
      </c>
    </row>
    <row r="301">
      <c r="A301">
        <f>IF(B301="","",ROW()-1)</f>
        <v/>
      </c>
      <c r="C301">
        <f>IFERROR(VLOOKUP(B301,Brands!$A:$B,2,FALSE),"")</f>
        <v/>
      </c>
    </row>
    <row r="302">
      <c r="A302">
        <f>IF(B302="","",ROW()-1)</f>
        <v/>
      </c>
      <c r="C302">
        <f>IFERROR(VLOOKUP(B302,Brands!$A:$B,2,FALSE),"")</f>
        <v/>
      </c>
    </row>
    <row r="303">
      <c r="A303">
        <f>IF(B303="","",ROW()-1)</f>
        <v/>
      </c>
      <c r="C303">
        <f>IFERROR(VLOOKUP(B303,Brands!$A:$B,2,FALSE),"")</f>
        <v/>
      </c>
    </row>
    <row r="304">
      <c r="A304">
        <f>IF(B304="","",ROW()-1)</f>
        <v/>
      </c>
      <c r="C304">
        <f>IFERROR(VLOOKUP(B304,Brands!$A:$B,2,FALSE),"")</f>
        <v/>
      </c>
    </row>
    <row r="305">
      <c r="A305">
        <f>IF(B305="","",ROW()-1)</f>
        <v/>
      </c>
      <c r="C305">
        <f>IFERROR(VLOOKUP(B305,Brands!$A:$B,2,FALSE),"")</f>
        <v/>
      </c>
    </row>
    <row r="306">
      <c r="A306">
        <f>IF(B306="","",ROW()-1)</f>
        <v/>
      </c>
      <c r="C306">
        <f>IFERROR(VLOOKUP(B306,Brands!$A:$B,2,FALSE),"")</f>
        <v/>
      </c>
    </row>
    <row r="307">
      <c r="A307">
        <f>IF(B307="","",ROW()-1)</f>
        <v/>
      </c>
      <c r="C307">
        <f>IFERROR(VLOOKUP(B307,Brands!$A:$B,2,FALSE),"")</f>
        <v/>
      </c>
    </row>
    <row r="308">
      <c r="A308">
        <f>IF(B308="","",ROW()-1)</f>
        <v/>
      </c>
      <c r="C308">
        <f>IFERROR(VLOOKUP(B308,Brands!$A:$B,2,FALSE),"")</f>
        <v/>
      </c>
    </row>
    <row r="309">
      <c r="A309">
        <f>IF(B309="","",ROW()-1)</f>
        <v/>
      </c>
      <c r="C309">
        <f>IFERROR(VLOOKUP(B309,Brands!$A:$B,2,FALSE),"")</f>
        <v/>
      </c>
    </row>
    <row r="310">
      <c r="A310">
        <f>IF(B310="","",ROW()-1)</f>
        <v/>
      </c>
      <c r="C310">
        <f>IFERROR(VLOOKUP(B310,Brands!$A:$B,2,FALSE),"")</f>
        <v/>
      </c>
    </row>
    <row r="311">
      <c r="A311">
        <f>IF(B311="","",ROW()-1)</f>
        <v/>
      </c>
      <c r="C311">
        <f>IFERROR(VLOOKUP(B311,Brands!$A:$B,2,FALSE),"")</f>
        <v/>
      </c>
    </row>
    <row r="312">
      <c r="A312">
        <f>IF(B312="","",ROW()-1)</f>
        <v/>
      </c>
      <c r="C312">
        <f>IFERROR(VLOOKUP(B312,Brands!$A:$B,2,FALSE),"")</f>
        <v/>
      </c>
    </row>
    <row r="313">
      <c r="A313">
        <f>IF(B313="","",ROW()-1)</f>
        <v/>
      </c>
      <c r="C313">
        <f>IFERROR(VLOOKUP(B313,Brands!$A:$B,2,FALSE),"")</f>
        <v/>
      </c>
    </row>
    <row r="314">
      <c r="A314">
        <f>IF(B314="","",ROW()-1)</f>
        <v/>
      </c>
      <c r="C314">
        <f>IFERROR(VLOOKUP(B314,Brands!$A:$B,2,FALSE),"")</f>
        <v/>
      </c>
    </row>
    <row r="315">
      <c r="A315">
        <f>IF(B315="","",ROW()-1)</f>
        <v/>
      </c>
      <c r="C315">
        <f>IFERROR(VLOOKUP(B315,Brands!$A:$B,2,FALSE),"")</f>
        <v/>
      </c>
    </row>
    <row r="316">
      <c r="A316">
        <f>IF(B316="","",ROW()-1)</f>
        <v/>
      </c>
      <c r="C316">
        <f>IFERROR(VLOOKUP(B316,Brands!$A:$B,2,FALSE),"")</f>
        <v/>
      </c>
    </row>
    <row r="317">
      <c r="A317">
        <f>IF(B317="","",ROW()-1)</f>
        <v/>
      </c>
      <c r="C317">
        <f>IFERROR(VLOOKUP(B317,Brands!$A:$B,2,FALSE),"")</f>
        <v/>
      </c>
    </row>
    <row r="318">
      <c r="A318">
        <f>IF(B318="","",ROW()-1)</f>
        <v/>
      </c>
      <c r="C318">
        <f>IFERROR(VLOOKUP(B318,Brands!$A:$B,2,FALSE),"")</f>
        <v/>
      </c>
    </row>
    <row r="319">
      <c r="A319">
        <f>IF(B319="","",ROW()-1)</f>
        <v/>
      </c>
      <c r="C319">
        <f>IFERROR(VLOOKUP(B319,Brands!$A:$B,2,FALSE),"")</f>
        <v/>
      </c>
    </row>
    <row r="320">
      <c r="A320">
        <f>IF(B320="","",ROW()-1)</f>
        <v/>
      </c>
      <c r="C320">
        <f>IFERROR(VLOOKUP(B320,Brands!$A:$B,2,FALSE),"")</f>
        <v/>
      </c>
    </row>
    <row r="321">
      <c r="A321">
        <f>IF(B321="","",ROW()-1)</f>
        <v/>
      </c>
      <c r="C321">
        <f>IFERROR(VLOOKUP(B321,Brands!$A:$B,2,FALSE),"")</f>
        <v/>
      </c>
    </row>
    <row r="322">
      <c r="A322">
        <f>IF(B322="","",ROW()-1)</f>
        <v/>
      </c>
      <c r="C322">
        <f>IFERROR(VLOOKUP(B322,Brands!$A:$B,2,FALSE),"")</f>
        <v/>
      </c>
    </row>
    <row r="323">
      <c r="A323">
        <f>IF(B323="","",ROW()-1)</f>
        <v/>
      </c>
      <c r="C323">
        <f>IFERROR(VLOOKUP(B323,Brands!$A:$B,2,FALSE),"")</f>
        <v/>
      </c>
    </row>
    <row r="324">
      <c r="A324">
        <f>IF(B324="","",ROW()-1)</f>
        <v/>
      </c>
      <c r="C324">
        <f>IFERROR(VLOOKUP(B324,Brands!$A:$B,2,FALSE),"")</f>
        <v/>
      </c>
    </row>
    <row r="325">
      <c r="A325">
        <f>IF(B325="","",ROW()-1)</f>
        <v/>
      </c>
      <c r="C325">
        <f>IFERROR(VLOOKUP(B325,Brands!$A:$B,2,FALSE),"")</f>
        <v/>
      </c>
    </row>
    <row r="326">
      <c r="A326">
        <f>IF(B326="","",ROW()-1)</f>
        <v/>
      </c>
      <c r="C326">
        <f>IFERROR(VLOOKUP(B326,Brands!$A:$B,2,FALSE),"")</f>
        <v/>
      </c>
    </row>
    <row r="327">
      <c r="A327">
        <f>IF(B327="","",ROW()-1)</f>
        <v/>
      </c>
      <c r="C327">
        <f>IFERROR(VLOOKUP(B327,Brands!$A:$B,2,FALSE),"")</f>
        <v/>
      </c>
    </row>
    <row r="328">
      <c r="A328">
        <f>IF(B328="","",ROW()-1)</f>
        <v/>
      </c>
      <c r="C328">
        <f>IFERROR(VLOOKUP(B328,Brands!$A:$B,2,FALSE),"")</f>
        <v/>
      </c>
    </row>
    <row r="329">
      <c r="A329">
        <f>IF(B329="","",ROW()-1)</f>
        <v/>
      </c>
      <c r="C329">
        <f>IFERROR(VLOOKUP(B329,Brands!$A:$B,2,FALSE),"")</f>
        <v/>
      </c>
    </row>
    <row r="330">
      <c r="A330">
        <f>IF(B330="","",ROW()-1)</f>
        <v/>
      </c>
      <c r="C330">
        <f>IFERROR(VLOOKUP(B330,Brands!$A:$B,2,FALSE),"")</f>
        <v/>
      </c>
    </row>
    <row r="331">
      <c r="A331">
        <f>IF(B331="","",ROW()-1)</f>
        <v/>
      </c>
      <c r="C331">
        <f>IFERROR(VLOOKUP(B331,Brands!$A:$B,2,FALSE),"")</f>
        <v/>
      </c>
    </row>
    <row r="332">
      <c r="A332">
        <f>IF(B332="","",ROW()-1)</f>
        <v/>
      </c>
      <c r="C332">
        <f>IFERROR(VLOOKUP(B332,Brands!$A:$B,2,FALSE),"")</f>
        <v/>
      </c>
    </row>
    <row r="333">
      <c r="A333">
        <f>IF(B333="","",ROW()-1)</f>
        <v/>
      </c>
      <c r="C333">
        <f>IFERROR(VLOOKUP(B333,Brands!$A:$B,2,FALSE),"")</f>
        <v/>
      </c>
    </row>
    <row r="334">
      <c r="A334">
        <f>IF(B334="","",ROW()-1)</f>
        <v/>
      </c>
      <c r="C334">
        <f>IFERROR(VLOOKUP(B334,Brands!$A:$B,2,FALSE),"")</f>
        <v/>
      </c>
    </row>
    <row r="335">
      <c r="A335">
        <f>IF(B335="","",ROW()-1)</f>
        <v/>
      </c>
      <c r="C335">
        <f>IFERROR(VLOOKUP(B335,Brands!$A:$B,2,FALSE),"")</f>
        <v/>
      </c>
    </row>
    <row r="336">
      <c r="A336">
        <f>IF(B336="","",ROW()-1)</f>
        <v/>
      </c>
      <c r="C336">
        <f>IFERROR(VLOOKUP(B336,Brands!$A:$B,2,FALSE),"")</f>
        <v/>
      </c>
    </row>
    <row r="337">
      <c r="A337">
        <f>IF(B337="","",ROW()-1)</f>
        <v/>
      </c>
      <c r="C337">
        <f>IFERROR(VLOOKUP(B337,Brands!$A:$B,2,FALSE),"")</f>
        <v/>
      </c>
    </row>
    <row r="338">
      <c r="A338">
        <f>IF(B338="","",ROW()-1)</f>
        <v/>
      </c>
      <c r="C338">
        <f>IFERROR(VLOOKUP(B338,Brands!$A:$B,2,FALSE),"")</f>
        <v/>
      </c>
    </row>
    <row r="339">
      <c r="A339">
        <f>IF(B339="","",ROW()-1)</f>
        <v/>
      </c>
      <c r="C339">
        <f>IFERROR(VLOOKUP(B339,Brands!$A:$B,2,FALSE),"")</f>
        <v/>
      </c>
    </row>
    <row r="340">
      <c r="A340">
        <f>IF(B340="","",ROW()-1)</f>
        <v/>
      </c>
      <c r="C340">
        <f>IFERROR(VLOOKUP(B340,Brands!$A:$B,2,FALSE),"")</f>
        <v/>
      </c>
    </row>
    <row r="341">
      <c r="A341">
        <f>IF(B341="","",ROW()-1)</f>
        <v/>
      </c>
      <c r="C341">
        <f>IFERROR(VLOOKUP(B341,Brands!$A:$B,2,FALSE),"")</f>
        <v/>
      </c>
    </row>
    <row r="342">
      <c r="A342">
        <f>IF(B342="","",ROW()-1)</f>
        <v/>
      </c>
      <c r="C342">
        <f>IFERROR(VLOOKUP(B342,Brands!$A:$B,2,FALSE),"")</f>
        <v/>
      </c>
    </row>
    <row r="343">
      <c r="A343">
        <f>IF(B343="","",ROW()-1)</f>
        <v/>
      </c>
      <c r="C343">
        <f>IFERROR(VLOOKUP(B343,Brands!$A:$B,2,FALSE),"")</f>
        <v/>
      </c>
    </row>
    <row r="344">
      <c r="A344">
        <f>IF(B344="","",ROW()-1)</f>
        <v/>
      </c>
      <c r="C344">
        <f>IFERROR(VLOOKUP(B344,Brands!$A:$B,2,FALSE),"")</f>
        <v/>
      </c>
    </row>
    <row r="345">
      <c r="A345">
        <f>IF(B345="","",ROW()-1)</f>
        <v/>
      </c>
      <c r="C345">
        <f>IFERROR(VLOOKUP(B345,Brands!$A:$B,2,FALSE),"")</f>
        <v/>
      </c>
    </row>
    <row r="346">
      <c r="A346">
        <f>IF(B346="","",ROW()-1)</f>
        <v/>
      </c>
      <c r="C346">
        <f>IFERROR(VLOOKUP(B346,Brands!$A:$B,2,FALSE),"")</f>
        <v/>
      </c>
    </row>
    <row r="347">
      <c r="A347">
        <f>IF(B347="","",ROW()-1)</f>
        <v/>
      </c>
      <c r="C347">
        <f>IFERROR(VLOOKUP(B347,Brands!$A:$B,2,FALSE),"")</f>
        <v/>
      </c>
    </row>
    <row r="348">
      <c r="A348">
        <f>IF(B348="","",ROW()-1)</f>
        <v/>
      </c>
      <c r="C348">
        <f>IFERROR(VLOOKUP(B348,Brands!$A:$B,2,FALSE),"")</f>
        <v/>
      </c>
    </row>
    <row r="349">
      <c r="A349">
        <f>IF(B349="","",ROW()-1)</f>
        <v/>
      </c>
      <c r="C349">
        <f>IFERROR(VLOOKUP(B349,Brands!$A:$B,2,FALSE),"")</f>
        <v/>
      </c>
    </row>
    <row r="350">
      <c r="A350">
        <f>IF(B350="","",ROW()-1)</f>
        <v/>
      </c>
      <c r="C350">
        <f>IFERROR(VLOOKUP(B350,Brands!$A:$B,2,FALSE),"")</f>
        <v/>
      </c>
    </row>
    <row r="351">
      <c r="A351">
        <f>IF(B351="","",ROW()-1)</f>
        <v/>
      </c>
      <c r="C351">
        <f>IFERROR(VLOOKUP(B351,Brands!$A:$B,2,FALSE),"")</f>
        <v/>
      </c>
    </row>
    <row r="352">
      <c r="A352">
        <f>IF(B352="","",ROW()-1)</f>
        <v/>
      </c>
      <c r="C352">
        <f>IFERROR(VLOOKUP(B352,Brands!$A:$B,2,FALSE),"")</f>
        <v/>
      </c>
    </row>
    <row r="353">
      <c r="A353">
        <f>IF(B353="","",ROW()-1)</f>
        <v/>
      </c>
      <c r="C353">
        <f>IFERROR(VLOOKUP(B353,Brands!$A:$B,2,FALSE),"")</f>
        <v/>
      </c>
    </row>
    <row r="354">
      <c r="A354">
        <f>IF(B354="","",ROW()-1)</f>
        <v/>
      </c>
      <c r="C354">
        <f>IFERROR(VLOOKUP(B354,Brands!$A:$B,2,FALSE),"")</f>
        <v/>
      </c>
    </row>
    <row r="355">
      <c r="A355">
        <f>IF(B355="","",ROW()-1)</f>
        <v/>
      </c>
      <c r="C355">
        <f>IFERROR(VLOOKUP(B355,Brands!$A:$B,2,FALSE),"")</f>
        <v/>
      </c>
    </row>
    <row r="356">
      <c r="A356">
        <f>IF(B356="","",ROW()-1)</f>
        <v/>
      </c>
      <c r="C356">
        <f>IFERROR(VLOOKUP(B356,Brands!$A:$B,2,FALSE),"")</f>
        <v/>
      </c>
    </row>
    <row r="357">
      <c r="A357">
        <f>IF(B357="","",ROW()-1)</f>
        <v/>
      </c>
      <c r="C357">
        <f>IFERROR(VLOOKUP(B357,Brands!$A:$B,2,FALSE),"")</f>
        <v/>
      </c>
    </row>
    <row r="358">
      <c r="A358">
        <f>IF(B358="","",ROW()-1)</f>
        <v/>
      </c>
      <c r="C358">
        <f>IFERROR(VLOOKUP(B358,Brands!$A:$B,2,FALSE),"")</f>
        <v/>
      </c>
    </row>
    <row r="359">
      <c r="A359">
        <f>IF(B359="","",ROW()-1)</f>
        <v/>
      </c>
      <c r="C359">
        <f>IFERROR(VLOOKUP(B359,Brands!$A:$B,2,FALSE),"")</f>
        <v/>
      </c>
    </row>
    <row r="360">
      <c r="A360">
        <f>IF(B360="","",ROW()-1)</f>
        <v/>
      </c>
      <c r="C360">
        <f>IFERROR(VLOOKUP(B360,Brands!$A:$B,2,FALSE),"")</f>
        <v/>
      </c>
    </row>
    <row r="361">
      <c r="A361">
        <f>IF(B361="","",ROW()-1)</f>
        <v/>
      </c>
      <c r="C361">
        <f>IFERROR(VLOOKUP(B361,Brands!$A:$B,2,FALSE),"")</f>
        <v/>
      </c>
    </row>
    <row r="362">
      <c r="A362">
        <f>IF(B362="","",ROW()-1)</f>
        <v/>
      </c>
      <c r="C362">
        <f>IFERROR(VLOOKUP(B362,Brands!$A:$B,2,FALSE),"")</f>
        <v/>
      </c>
    </row>
    <row r="363">
      <c r="A363">
        <f>IF(B363="","",ROW()-1)</f>
        <v/>
      </c>
      <c r="C363">
        <f>IFERROR(VLOOKUP(B363,Brands!$A:$B,2,FALSE),"")</f>
        <v/>
      </c>
    </row>
    <row r="364">
      <c r="A364">
        <f>IF(B364="","",ROW()-1)</f>
        <v/>
      </c>
      <c r="C364">
        <f>IFERROR(VLOOKUP(B364,Brands!$A:$B,2,FALSE),"")</f>
        <v/>
      </c>
    </row>
    <row r="365">
      <c r="A365">
        <f>IF(B365="","",ROW()-1)</f>
        <v/>
      </c>
      <c r="C365">
        <f>IFERROR(VLOOKUP(B365,Brands!$A:$B,2,FALSE),"")</f>
        <v/>
      </c>
    </row>
    <row r="366">
      <c r="A366">
        <f>IF(B366="","",ROW()-1)</f>
        <v/>
      </c>
      <c r="C366">
        <f>IFERROR(VLOOKUP(B366,Brands!$A:$B,2,FALSE),"")</f>
        <v/>
      </c>
    </row>
    <row r="367">
      <c r="A367">
        <f>IF(B367="","",ROW()-1)</f>
        <v/>
      </c>
      <c r="C367">
        <f>IFERROR(VLOOKUP(B367,Brands!$A:$B,2,FALSE),"")</f>
        <v/>
      </c>
    </row>
    <row r="368">
      <c r="A368">
        <f>IF(B368="","",ROW()-1)</f>
        <v/>
      </c>
      <c r="C368">
        <f>IFERROR(VLOOKUP(B368,Brands!$A:$B,2,FALSE),"")</f>
        <v/>
      </c>
    </row>
    <row r="369">
      <c r="A369">
        <f>IF(B369="","",ROW()-1)</f>
        <v/>
      </c>
      <c r="C369">
        <f>IFERROR(VLOOKUP(B369,Brands!$A:$B,2,FALSE),"")</f>
        <v/>
      </c>
    </row>
    <row r="370">
      <c r="A370">
        <f>IF(B370="","",ROW()-1)</f>
        <v/>
      </c>
      <c r="C370">
        <f>IFERROR(VLOOKUP(B370,Brands!$A:$B,2,FALSE),"")</f>
        <v/>
      </c>
    </row>
    <row r="371">
      <c r="A371">
        <f>IF(B371="","",ROW()-1)</f>
        <v/>
      </c>
      <c r="C371">
        <f>IFERROR(VLOOKUP(B371,Brands!$A:$B,2,FALSE),"")</f>
        <v/>
      </c>
    </row>
    <row r="372">
      <c r="A372">
        <f>IF(B372="","",ROW()-1)</f>
        <v/>
      </c>
      <c r="C372">
        <f>IFERROR(VLOOKUP(B372,Brands!$A:$B,2,FALSE),"")</f>
        <v/>
      </c>
    </row>
    <row r="373">
      <c r="A373">
        <f>IF(B373="","",ROW()-1)</f>
        <v/>
      </c>
      <c r="C373">
        <f>IFERROR(VLOOKUP(B373,Brands!$A:$B,2,FALSE),"")</f>
        <v/>
      </c>
    </row>
    <row r="374">
      <c r="A374">
        <f>IF(B374="","",ROW()-1)</f>
        <v/>
      </c>
      <c r="C374">
        <f>IFERROR(VLOOKUP(B374,Brands!$A:$B,2,FALSE),"")</f>
        <v/>
      </c>
    </row>
    <row r="375">
      <c r="A375">
        <f>IF(B375="","",ROW()-1)</f>
        <v/>
      </c>
      <c r="C375">
        <f>IFERROR(VLOOKUP(B375,Brands!$A:$B,2,FALSE),"")</f>
        <v/>
      </c>
    </row>
    <row r="376">
      <c r="A376">
        <f>IF(B376="","",ROW()-1)</f>
        <v/>
      </c>
      <c r="C376">
        <f>IFERROR(VLOOKUP(B376,Brands!$A:$B,2,FALSE),"")</f>
        <v/>
      </c>
    </row>
    <row r="377">
      <c r="A377">
        <f>IF(B377="","",ROW()-1)</f>
        <v/>
      </c>
      <c r="C377">
        <f>IFERROR(VLOOKUP(B377,Brands!$A:$B,2,FALSE),"")</f>
        <v/>
      </c>
    </row>
    <row r="378">
      <c r="A378">
        <f>IF(B378="","",ROW()-1)</f>
        <v/>
      </c>
      <c r="C378">
        <f>IFERROR(VLOOKUP(B378,Brands!$A:$B,2,FALSE),"")</f>
        <v/>
      </c>
    </row>
    <row r="379">
      <c r="A379">
        <f>IF(B379="","",ROW()-1)</f>
        <v/>
      </c>
      <c r="C379">
        <f>IFERROR(VLOOKUP(B379,Brands!$A:$B,2,FALSE),"")</f>
        <v/>
      </c>
    </row>
    <row r="380">
      <c r="A380">
        <f>IF(B380="","",ROW()-1)</f>
        <v/>
      </c>
      <c r="C380">
        <f>IFERROR(VLOOKUP(B380,Brands!$A:$B,2,FALSE),"")</f>
        <v/>
      </c>
    </row>
    <row r="381">
      <c r="A381">
        <f>IF(B381="","",ROW()-1)</f>
        <v/>
      </c>
      <c r="C381">
        <f>IFERROR(VLOOKUP(B381,Brands!$A:$B,2,FALSE),"")</f>
        <v/>
      </c>
    </row>
    <row r="382">
      <c r="A382">
        <f>IF(B382="","",ROW()-1)</f>
        <v/>
      </c>
      <c r="C382">
        <f>IFERROR(VLOOKUP(B382,Brands!$A:$B,2,FALSE),"")</f>
        <v/>
      </c>
    </row>
    <row r="383">
      <c r="A383">
        <f>IF(B383="","",ROW()-1)</f>
        <v/>
      </c>
      <c r="C383">
        <f>IFERROR(VLOOKUP(B383,Brands!$A:$B,2,FALSE),"")</f>
        <v/>
      </c>
    </row>
    <row r="384">
      <c r="A384">
        <f>IF(B384="","",ROW()-1)</f>
        <v/>
      </c>
      <c r="C384">
        <f>IFERROR(VLOOKUP(B384,Brands!$A:$B,2,FALSE),"")</f>
        <v/>
      </c>
    </row>
    <row r="385">
      <c r="A385">
        <f>IF(B385="","",ROW()-1)</f>
        <v/>
      </c>
      <c r="C385">
        <f>IFERROR(VLOOKUP(B385,Brands!$A:$B,2,FALSE),"")</f>
        <v/>
      </c>
    </row>
    <row r="386">
      <c r="A386">
        <f>IF(B386="","",ROW()-1)</f>
        <v/>
      </c>
      <c r="C386">
        <f>IFERROR(VLOOKUP(B386,Brands!$A:$B,2,FALSE),"")</f>
        <v/>
      </c>
    </row>
    <row r="387">
      <c r="A387">
        <f>IF(B387="","",ROW()-1)</f>
        <v/>
      </c>
      <c r="C387">
        <f>IFERROR(VLOOKUP(B387,Brands!$A:$B,2,FALSE),"")</f>
        <v/>
      </c>
    </row>
    <row r="388">
      <c r="A388">
        <f>IF(B388="","",ROW()-1)</f>
        <v/>
      </c>
      <c r="C388">
        <f>IFERROR(VLOOKUP(B388,Brands!$A:$B,2,FALSE),"")</f>
        <v/>
      </c>
    </row>
    <row r="389">
      <c r="A389">
        <f>IF(B389="","",ROW()-1)</f>
        <v/>
      </c>
      <c r="C389">
        <f>IFERROR(VLOOKUP(B389,Brands!$A:$B,2,FALSE),"")</f>
        <v/>
      </c>
    </row>
    <row r="390">
      <c r="A390">
        <f>IF(B390="","",ROW()-1)</f>
        <v/>
      </c>
      <c r="C390">
        <f>IFERROR(VLOOKUP(B390,Brands!$A:$B,2,FALSE),"")</f>
        <v/>
      </c>
    </row>
    <row r="391">
      <c r="A391">
        <f>IF(B391="","",ROW()-1)</f>
        <v/>
      </c>
      <c r="C391">
        <f>IFERROR(VLOOKUP(B391,Brands!$A:$B,2,FALSE),"")</f>
        <v/>
      </c>
    </row>
    <row r="392">
      <c r="A392">
        <f>IF(B392="","",ROW()-1)</f>
        <v/>
      </c>
      <c r="C392">
        <f>IFERROR(VLOOKUP(B392,Brands!$A:$B,2,FALSE),"")</f>
        <v/>
      </c>
    </row>
    <row r="393">
      <c r="A393">
        <f>IF(B393="","",ROW()-1)</f>
        <v/>
      </c>
      <c r="C393">
        <f>IFERROR(VLOOKUP(B393,Brands!$A:$B,2,FALSE),"")</f>
        <v/>
      </c>
    </row>
    <row r="394">
      <c r="A394">
        <f>IF(B394="","",ROW()-1)</f>
        <v/>
      </c>
      <c r="C394">
        <f>IFERROR(VLOOKUP(B394,Brands!$A:$B,2,FALSE),"")</f>
        <v/>
      </c>
    </row>
    <row r="395">
      <c r="A395">
        <f>IF(B395="","",ROW()-1)</f>
        <v/>
      </c>
      <c r="C395">
        <f>IFERROR(VLOOKUP(B395,Brands!$A:$B,2,FALSE),"")</f>
        <v/>
      </c>
    </row>
    <row r="396">
      <c r="A396">
        <f>IF(B396="","",ROW()-1)</f>
        <v/>
      </c>
      <c r="C396">
        <f>IFERROR(VLOOKUP(B396,Brands!$A:$B,2,FALSE),"")</f>
        <v/>
      </c>
    </row>
    <row r="397">
      <c r="A397">
        <f>IF(B397="","",ROW()-1)</f>
        <v/>
      </c>
      <c r="C397">
        <f>IFERROR(VLOOKUP(B397,Brands!$A:$B,2,FALSE),"")</f>
        <v/>
      </c>
    </row>
    <row r="398">
      <c r="A398">
        <f>IF(B398="","",ROW()-1)</f>
        <v/>
      </c>
      <c r="C398">
        <f>IFERROR(VLOOKUP(B398,Brands!$A:$B,2,FALSE),"")</f>
        <v/>
      </c>
    </row>
    <row r="399">
      <c r="A399">
        <f>IF(B399="","",ROW()-1)</f>
        <v/>
      </c>
      <c r="C399">
        <f>IFERROR(VLOOKUP(B399,Brands!$A:$B,2,FALSE),"")</f>
        <v/>
      </c>
    </row>
    <row r="400">
      <c r="A400">
        <f>IF(B400="","",ROW()-1)</f>
        <v/>
      </c>
      <c r="C400">
        <f>IFERROR(VLOOKUP(B400,Brands!$A:$B,2,FALSE),"")</f>
        <v/>
      </c>
    </row>
    <row r="401">
      <c r="A401">
        <f>IF(B401="","",ROW()-1)</f>
        <v/>
      </c>
      <c r="C401">
        <f>IFERROR(VLOOKUP(B401,Brands!$A:$B,2,FALSE),"")</f>
        <v/>
      </c>
    </row>
    <row r="402">
      <c r="A402">
        <f>IF(B402="","",ROW()-1)</f>
        <v/>
      </c>
      <c r="C402">
        <f>IFERROR(VLOOKUP(B402,Brands!$A:$B,2,FALSE),"")</f>
        <v/>
      </c>
    </row>
    <row r="403">
      <c r="A403">
        <f>IF(B403="","",ROW()-1)</f>
        <v/>
      </c>
      <c r="C403">
        <f>IFERROR(VLOOKUP(B403,Brands!$A:$B,2,FALSE),"")</f>
        <v/>
      </c>
    </row>
    <row r="404">
      <c r="A404">
        <f>IF(B404="","",ROW()-1)</f>
        <v/>
      </c>
      <c r="C404">
        <f>IFERROR(VLOOKUP(B404,Brands!$A:$B,2,FALSE),"")</f>
        <v/>
      </c>
    </row>
    <row r="405">
      <c r="A405">
        <f>IF(B405="","",ROW()-1)</f>
        <v/>
      </c>
      <c r="C405">
        <f>IFERROR(VLOOKUP(B405,Brands!$A:$B,2,FALSE),"")</f>
        <v/>
      </c>
    </row>
    <row r="406">
      <c r="A406">
        <f>IF(B406="","",ROW()-1)</f>
        <v/>
      </c>
      <c r="C406">
        <f>IFERROR(VLOOKUP(B406,Brands!$A:$B,2,FALSE),"")</f>
        <v/>
      </c>
    </row>
    <row r="407">
      <c r="A407">
        <f>IF(B407="","",ROW()-1)</f>
        <v/>
      </c>
      <c r="C407">
        <f>IFERROR(VLOOKUP(B407,Brands!$A:$B,2,FALSE),"")</f>
        <v/>
      </c>
    </row>
    <row r="408">
      <c r="A408">
        <f>IF(B408="","",ROW()-1)</f>
        <v/>
      </c>
      <c r="C408">
        <f>IFERROR(VLOOKUP(B408,Brands!$A:$B,2,FALSE),"")</f>
        <v/>
      </c>
    </row>
    <row r="409">
      <c r="A409">
        <f>IF(B409="","",ROW()-1)</f>
        <v/>
      </c>
      <c r="C409">
        <f>IFERROR(VLOOKUP(B409,Brands!$A:$B,2,FALSE),"")</f>
        <v/>
      </c>
    </row>
    <row r="410">
      <c r="A410">
        <f>IF(B410="","",ROW()-1)</f>
        <v/>
      </c>
      <c r="C410">
        <f>IFERROR(VLOOKUP(B410,Brands!$A:$B,2,FALSE),"")</f>
        <v/>
      </c>
    </row>
    <row r="411">
      <c r="A411">
        <f>IF(B411="","",ROW()-1)</f>
        <v/>
      </c>
      <c r="C411">
        <f>IFERROR(VLOOKUP(B411,Brands!$A:$B,2,FALSE),"")</f>
        <v/>
      </c>
    </row>
    <row r="412">
      <c r="A412">
        <f>IF(B412="","",ROW()-1)</f>
        <v/>
      </c>
      <c r="C412">
        <f>IFERROR(VLOOKUP(B412,Brands!$A:$B,2,FALSE),"")</f>
        <v/>
      </c>
    </row>
    <row r="413">
      <c r="A413">
        <f>IF(B413="","",ROW()-1)</f>
        <v/>
      </c>
      <c r="C413">
        <f>IFERROR(VLOOKUP(B413,Brands!$A:$B,2,FALSE),"")</f>
        <v/>
      </c>
    </row>
    <row r="414">
      <c r="A414">
        <f>IF(B414="","",ROW()-1)</f>
        <v/>
      </c>
      <c r="C414">
        <f>IFERROR(VLOOKUP(B414,Brands!$A:$B,2,FALSE),"")</f>
        <v/>
      </c>
    </row>
    <row r="415">
      <c r="A415">
        <f>IF(B415="","",ROW()-1)</f>
        <v/>
      </c>
      <c r="C415">
        <f>IFERROR(VLOOKUP(B415,Brands!$A:$B,2,FALSE),"")</f>
        <v/>
      </c>
    </row>
    <row r="416">
      <c r="A416">
        <f>IF(B416="","",ROW()-1)</f>
        <v/>
      </c>
      <c r="C416">
        <f>IFERROR(VLOOKUP(B416,Brands!$A:$B,2,FALSE),"")</f>
        <v/>
      </c>
    </row>
    <row r="417">
      <c r="A417">
        <f>IF(B417="","",ROW()-1)</f>
        <v/>
      </c>
      <c r="C417">
        <f>IFERROR(VLOOKUP(B417,Brands!$A:$B,2,FALSE),"")</f>
        <v/>
      </c>
    </row>
    <row r="418">
      <c r="A418">
        <f>IF(B418="","",ROW()-1)</f>
        <v/>
      </c>
      <c r="C418">
        <f>IFERROR(VLOOKUP(B418,Brands!$A:$B,2,FALSE),"")</f>
        <v/>
      </c>
    </row>
    <row r="419">
      <c r="A419">
        <f>IF(B419="","",ROW()-1)</f>
        <v/>
      </c>
      <c r="C419">
        <f>IFERROR(VLOOKUP(B419,Brands!$A:$B,2,FALSE),"")</f>
        <v/>
      </c>
    </row>
    <row r="420">
      <c r="A420">
        <f>IF(B420="","",ROW()-1)</f>
        <v/>
      </c>
      <c r="C420">
        <f>IFERROR(VLOOKUP(B420,Brands!$A:$B,2,FALSE),"")</f>
        <v/>
      </c>
    </row>
    <row r="421">
      <c r="A421">
        <f>IF(B421="","",ROW()-1)</f>
        <v/>
      </c>
      <c r="C421">
        <f>IFERROR(VLOOKUP(B421,Brands!$A:$B,2,FALSE),"")</f>
        <v/>
      </c>
    </row>
    <row r="422">
      <c r="A422">
        <f>IF(B422="","",ROW()-1)</f>
        <v/>
      </c>
      <c r="C422">
        <f>IFERROR(VLOOKUP(B422,Brands!$A:$B,2,FALSE),"")</f>
        <v/>
      </c>
    </row>
    <row r="423">
      <c r="A423">
        <f>IF(B423="","",ROW()-1)</f>
        <v/>
      </c>
      <c r="C423">
        <f>IFERROR(VLOOKUP(B423,Brands!$A:$B,2,FALSE),"")</f>
        <v/>
      </c>
    </row>
    <row r="424">
      <c r="A424">
        <f>IF(B424="","",ROW()-1)</f>
        <v/>
      </c>
      <c r="C424">
        <f>IFERROR(VLOOKUP(B424,Brands!$A:$B,2,FALSE),"")</f>
        <v/>
      </c>
    </row>
    <row r="425">
      <c r="A425">
        <f>IF(B425="","",ROW()-1)</f>
        <v/>
      </c>
      <c r="C425">
        <f>IFERROR(VLOOKUP(B425,Brands!$A:$B,2,FALSE),"")</f>
        <v/>
      </c>
    </row>
    <row r="426">
      <c r="A426">
        <f>IF(B426="","",ROW()-1)</f>
        <v/>
      </c>
      <c r="C426">
        <f>IFERROR(VLOOKUP(B426,Brands!$A:$B,2,FALSE),"")</f>
        <v/>
      </c>
    </row>
    <row r="427">
      <c r="A427">
        <f>IF(B427="","",ROW()-1)</f>
        <v/>
      </c>
      <c r="C427">
        <f>IFERROR(VLOOKUP(B427,Brands!$A:$B,2,FALSE),"")</f>
        <v/>
      </c>
    </row>
    <row r="428">
      <c r="A428">
        <f>IF(B428="","",ROW()-1)</f>
        <v/>
      </c>
      <c r="C428">
        <f>IFERROR(VLOOKUP(B428,Brands!$A:$B,2,FALSE),"")</f>
        <v/>
      </c>
    </row>
    <row r="429">
      <c r="A429">
        <f>IF(B429="","",ROW()-1)</f>
        <v/>
      </c>
      <c r="C429">
        <f>IFERROR(VLOOKUP(B429,Brands!$A:$B,2,FALSE),"")</f>
        <v/>
      </c>
    </row>
    <row r="430">
      <c r="A430">
        <f>IF(B430="","",ROW()-1)</f>
        <v/>
      </c>
      <c r="C430">
        <f>IFERROR(VLOOKUP(B430,Brands!$A:$B,2,FALSE),"")</f>
        <v/>
      </c>
    </row>
    <row r="431">
      <c r="A431">
        <f>IF(B431="","",ROW()-1)</f>
        <v/>
      </c>
      <c r="C431">
        <f>IFERROR(VLOOKUP(B431,Brands!$A:$B,2,FALSE),"")</f>
        <v/>
      </c>
    </row>
    <row r="432">
      <c r="A432">
        <f>IF(B432="","",ROW()-1)</f>
        <v/>
      </c>
      <c r="C432">
        <f>IFERROR(VLOOKUP(B432,Brands!$A:$B,2,FALSE),"")</f>
        <v/>
      </c>
    </row>
    <row r="433">
      <c r="A433">
        <f>IF(B433="","",ROW()-1)</f>
        <v/>
      </c>
      <c r="C433">
        <f>IFERROR(VLOOKUP(B433,Brands!$A:$B,2,FALSE),"")</f>
        <v/>
      </c>
    </row>
    <row r="434">
      <c r="A434">
        <f>IF(B434="","",ROW()-1)</f>
        <v/>
      </c>
      <c r="C434">
        <f>IFERROR(VLOOKUP(B434,Brands!$A:$B,2,FALSE),"")</f>
        <v/>
      </c>
    </row>
    <row r="435">
      <c r="A435">
        <f>IF(B435="","",ROW()-1)</f>
        <v/>
      </c>
      <c r="C435">
        <f>IFERROR(VLOOKUP(B435,Brands!$A:$B,2,FALSE),"")</f>
        <v/>
      </c>
    </row>
    <row r="436">
      <c r="A436">
        <f>IF(B436="","",ROW()-1)</f>
        <v/>
      </c>
      <c r="C436">
        <f>IFERROR(VLOOKUP(B436,Brands!$A:$B,2,FALSE),"")</f>
        <v/>
      </c>
    </row>
    <row r="437">
      <c r="A437">
        <f>IF(B437="","",ROW()-1)</f>
        <v/>
      </c>
      <c r="C437">
        <f>IFERROR(VLOOKUP(B437,Brands!$A:$B,2,FALSE),"")</f>
        <v/>
      </c>
    </row>
    <row r="438">
      <c r="A438">
        <f>IF(B438="","",ROW()-1)</f>
        <v/>
      </c>
      <c r="C438">
        <f>IFERROR(VLOOKUP(B438,Brands!$A:$B,2,FALSE),"")</f>
        <v/>
      </c>
    </row>
    <row r="439">
      <c r="A439">
        <f>IF(B439="","",ROW()-1)</f>
        <v/>
      </c>
      <c r="C439">
        <f>IFERROR(VLOOKUP(B439,Brands!$A:$B,2,FALSE),"")</f>
        <v/>
      </c>
    </row>
    <row r="440">
      <c r="A440">
        <f>IF(B440="","",ROW()-1)</f>
        <v/>
      </c>
      <c r="C440">
        <f>IFERROR(VLOOKUP(B440,Brands!$A:$B,2,FALSE),"")</f>
        <v/>
      </c>
    </row>
    <row r="441">
      <c r="A441">
        <f>IF(B441="","",ROW()-1)</f>
        <v/>
      </c>
      <c r="C441">
        <f>IFERROR(VLOOKUP(B441,Brands!$A:$B,2,FALSE),"")</f>
        <v/>
      </c>
    </row>
    <row r="442">
      <c r="A442">
        <f>IF(B442="","",ROW()-1)</f>
        <v/>
      </c>
      <c r="C442">
        <f>IFERROR(VLOOKUP(B442,Brands!$A:$B,2,FALSE),"")</f>
        <v/>
      </c>
    </row>
    <row r="443">
      <c r="A443">
        <f>IF(B443="","",ROW()-1)</f>
        <v/>
      </c>
      <c r="C443">
        <f>IFERROR(VLOOKUP(B443,Brands!$A:$B,2,FALSE),"")</f>
        <v/>
      </c>
    </row>
    <row r="444">
      <c r="A444">
        <f>IF(B444="","",ROW()-1)</f>
        <v/>
      </c>
      <c r="C444">
        <f>IFERROR(VLOOKUP(B444,Brands!$A:$B,2,FALSE),"")</f>
        <v/>
      </c>
    </row>
    <row r="445">
      <c r="A445">
        <f>IF(B445="","",ROW()-1)</f>
        <v/>
      </c>
      <c r="C445">
        <f>IFERROR(VLOOKUP(B445,Brands!$A:$B,2,FALSE),"")</f>
        <v/>
      </c>
    </row>
    <row r="446">
      <c r="A446">
        <f>IF(B446="","",ROW()-1)</f>
        <v/>
      </c>
      <c r="C446">
        <f>IFERROR(VLOOKUP(B446,Brands!$A:$B,2,FALSE),"")</f>
        <v/>
      </c>
    </row>
    <row r="447">
      <c r="A447">
        <f>IF(B447="","",ROW()-1)</f>
        <v/>
      </c>
      <c r="C447">
        <f>IFERROR(VLOOKUP(B447,Brands!$A:$B,2,FALSE),"")</f>
        <v/>
      </c>
    </row>
    <row r="448">
      <c r="A448">
        <f>IF(B448="","",ROW()-1)</f>
        <v/>
      </c>
      <c r="C448">
        <f>IFERROR(VLOOKUP(B448,Brands!$A:$B,2,FALSE),"")</f>
        <v/>
      </c>
    </row>
    <row r="449">
      <c r="A449">
        <f>IF(B449="","",ROW()-1)</f>
        <v/>
      </c>
      <c r="C449">
        <f>IFERROR(VLOOKUP(B449,Brands!$A:$B,2,FALSE),"")</f>
        <v/>
      </c>
    </row>
    <row r="450">
      <c r="A450">
        <f>IF(B450="","",ROW()-1)</f>
        <v/>
      </c>
      <c r="C450">
        <f>IFERROR(VLOOKUP(B450,Brands!$A:$B,2,FALSE),"")</f>
        <v/>
      </c>
    </row>
    <row r="451">
      <c r="A451">
        <f>IF(B451="","",ROW()-1)</f>
        <v/>
      </c>
      <c r="C451">
        <f>IFERROR(VLOOKUP(B451,Brands!$A:$B,2,FALSE),"")</f>
        <v/>
      </c>
    </row>
    <row r="452">
      <c r="A452">
        <f>IF(B452="","",ROW()-1)</f>
        <v/>
      </c>
      <c r="C452">
        <f>IFERROR(VLOOKUP(B452,Brands!$A:$B,2,FALSE),"")</f>
        <v/>
      </c>
    </row>
    <row r="453">
      <c r="A453">
        <f>IF(B453="","",ROW()-1)</f>
        <v/>
      </c>
      <c r="C453">
        <f>IFERROR(VLOOKUP(B453,Brands!$A:$B,2,FALSE),"")</f>
        <v/>
      </c>
    </row>
    <row r="454">
      <c r="A454">
        <f>IF(B454="","",ROW()-1)</f>
        <v/>
      </c>
      <c r="C454">
        <f>IFERROR(VLOOKUP(B454,Brands!$A:$B,2,FALSE),"")</f>
        <v/>
      </c>
    </row>
    <row r="455">
      <c r="A455">
        <f>IF(B455="","",ROW()-1)</f>
        <v/>
      </c>
      <c r="C455">
        <f>IFERROR(VLOOKUP(B455,Brands!$A:$B,2,FALSE),"")</f>
        <v/>
      </c>
    </row>
    <row r="456">
      <c r="A456">
        <f>IF(B456="","",ROW()-1)</f>
        <v/>
      </c>
      <c r="C456">
        <f>IFERROR(VLOOKUP(B456,Brands!$A:$B,2,FALSE),"")</f>
        <v/>
      </c>
    </row>
    <row r="457">
      <c r="A457">
        <f>IF(B457="","",ROW()-1)</f>
        <v/>
      </c>
      <c r="C457">
        <f>IFERROR(VLOOKUP(B457,Brands!$A:$B,2,FALSE),"")</f>
        <v/>
      </c>
    </row>
    <row r="458">
      <c r="A458">
        <f>IF(B458="","",ROW()-1)</f>
        <v/>
      </c>
      <c r="C458">
        <f>IFERROR(VLOOKUP(B458,Brands!$A:$B,2,FALSE),"")</f>
        <v/>
      </c>
    </row>
    <row r="459">
      <c r="A459">
        <f>IF(B459="","",ROW()-1)</f>
        <v/>
      </c>
      <c r="C459">
        <f>IFERROR(VLOOKUP(B459,Brands!$A:$B,2,FALSE),"")</f>
        <v/>
      </c>
    </row>
    <row r="460">
      <c r="A460">
        <f>IF(B460="","",ROW()-1)</f>
        <v/>
      </c>
      <c r="C460">
        <f>IFERROR(VLOOKUP(B460,Brands!$A:$B,2,FALSE),"")</f>
        <v/>
      </c>
    </row>
    <row r="461">
      <c r="A461">
        <f>IF(B461="","",ROW()-1)</f>
        <v/>
      </c>
      <c r="C461">
        <f>IFERROR(VLOOKUP(B461,Brands!$A:$B,2,FALSE),"")</f>
        <v/>
      </c>
    </row>
    <row r="462">
      <c r="A462">
        <f>IF(B462="","",ROW()-1)</f>
        <v/>
      </c>
      <c r="C462">
        <f>IFERROR(VLOOKUP(B462,Brands!$A:$B,2,FALSE),"")</f>
        <v/>
      </c>
    </row>
    <row r="463">
      <c r="A463">
        <f>IF(B463="","",ROW()-1)</f>
        <v/>
      </c>
      <c r="C463">
        <f>IFERROR(VLOOKUP(B463,Brands!$A:$B,2,FALSE),"")</f>
        <v/>
      </c>
    </row>
    <row r="464">
      <c r="A464">
        <f>IF(B464="","",ROW()-1)</f>
        <v/>
      </c>
      <c r="C464">
        <f>IFERROR(VLOOKUP(B464,Brands!$A:$B,2,FALSE),"")</f>
        <v/>
      </c>
    </row>
    <row r="465">
      <c r="A465">
        <f>IF(B465="","",ROW()-1)</f>
        <v/>
      </c>
      <c r="C465">
        <f>IFERROR(VLOOKUP(B465,Brands!$A:$B,2,FALSE),"")</f>
        <v/>
      </c>
    </row>
    <row r="466">
      <c r="A466">
        <f>IF(B466="","",ROW()-1)</f>
        <v/>
      </c>
      <c r="C466">
        <f>IFERROR(VLOOKUP(B466,Brands!$A:$B,2,FALSE),"")</f>
        <v/>
      </c>
    </row>
    <row r="467">
      <c r="A467">
        <f>IF(B467="","",ROW()-1)</f>
        <v/>
      </c>
      <c r="C467">
        <f>IFERROR(VLOOKUP(B467,Brands!$A:$B,2,FALSE),"")</f>
        <v/>
      </c>
    </row>
    <row r="468">
      <c r="A468">
        <f>IF(B468="","",ROW()-1)</f>
        <v/>
      </c>
      <c r="C468">
        <f>IFERROR(VLOOKUP(B468,Brands!$A:$B,2,FALSE),"")</f>
        <v/>
      </c>
    </row>
    <row r="469">
      <c r="A469">
        <f>IF(B469="","",ROW()-1)</f>
        <v/>
      </c>
      <c r="C469">
        <f>IFERROR(VLOOKUP(B469,Brands!$A:$B,2,FALSE),"")</f>
        <v/>
      </c>
    </row>
    <row r="470">
      <c r="A470">
        <f>IF(B470="","",ROW()-1)</f>
        <v/>
      </c>
      <c r="C470">
        <f>IFERROR(VLOOKUP(B470,Brands!$A:$B,2,FALSE),"")</f>
        <v/>
      </c>
    </row>
    <row r="471">
      <c r="A471">
        <f>IF(B471="","",ROW()-1)</f>
        <v/>
      </c>
      <c r="C471">
        <f>IFERROR(VLOOKUP(B471,Brands!$A:$B,2,FALSE),"")</f>
        <v/>
      </c>
    </row>
    <row r="472">
      <c r="A472">
        <f>IF(B472="","",ROW()-1)</f>
        <v/>
      </c>
      <c r="C472">
        <f>IFERROR(VLOOKUP(B472,Brands!$A:$B,2,FALSE),"")</f>
        <v/>
      </c>
    </row>
    <row r="473">
      <c r="A473">
        <f>IF(B473="","",ROW()-1)</f>
        <v/>
      </c>
      <c r="C473">
        <f>IFERROR(VLOOKUP(B473,Brands!$A:$B,2,FALSE),"")</f>
        <v/>
      </c>
    </row>
    <row r="474">
      <c r="A474">
        <f>IF(B474="","",ROW()-1)</f>
        <v/>
      </c>
      <c r="C474">
        <f>IFERROR(VLOOKUP(B474,Brands!$A:$B,2,FALSE),"")</f>
        <v/>
      </c>
    </row>
    <row r="475">
      <c r="A475">
        <f>IF(B475="","",ROW()-1)</f>
        <v/>
      </c>
      <c r="C475">
        <f>IFERROR(VLOOKUP(B475,Brands!$A:$B,2,FALSE),"")</f>
        <v/>
      </c>
    </row>
    <row r="476">
      <c r="A476">
        <f>IF(B476="","",ROW()-1)</f>
        <v/>
      </c>
      <c r="C476">
        <f>IFERROR(VLOOKUP(B476,Brands!$A:$B,2,FALSE),"")</f>
        <v/>
      </c>
    </row>
    <row r="477">
      <c r="A477">
        <f>IF(B477="","",ROW()-1)</f>
        <v/>
      </c>
      <c r="C477">
        <f>IFERROR(VLOOKUP(B477,Brands!$A:$B,2,FALSE),"")</f>
        <v/>
      </c>
    </row>
    <row r="478">
      <c r="A478">
        <f>IF(B478="","",ROW()-1)</f>
        <v/>
      </c>
      <c r="C478">
        <f>IFERROR(VLOOKUP(B478,Brands!$A:$B,2,FALSE),"")</f>
        <v/>
      </c>
    </row>
    <row r="479">
      <c r="A479">
        <f>IF(B479="","",ROW()-1)</f>
        <v/>
      </c>
      <c r="C479">
        <f>IFERROR(VLOOKUP(B479,Brands!$A:$B,2,FALSE),"")</f>
        <v/>
      </c>
    </row>
    <row r="480">
      <c r="A480">
        <f>IF(B480="","",ROW()-1)</f>
        <v/>
      </c>
      <c r="C480">
        <f>IFERROR(VLOOKUP(B480,Brands!$A:$B,2,FALSE),"")</f>
        <v/>
      </c>
    </row>
    <row r="481">
      <c r="A481">
        <f>IF(B481="","",ROW()-1)</f>
        <v/>
      </c>
      <c r="C481">
        <f>IFERROR(VLOOKUP(B481,Brands!$A:$B,2,FALSE),"")</f>
        <v/>
      </c>
    </row>
    <row r="482">
      <c r="A482">
        <f>IF(B482="","",ROW()-1)</f>
        <v/>
      </c>
      <c r="C482">
        <f>IFERROR(VLOOKUP(B482,Brands!$A:$B,2,FALSE),"")</f>
        <v/>
      </c>
    </row>
    <row r="483">
      <c r="A483">
        <f>IF(B483="","",ROW()-1)</f>
        <v/>
      </c>
      <c r="C483">
        <f>IFERROR(VLOOKUP(B483,Brands!$A:$B,2,FALSE),"")</f>
        <v/>
      </c>
    </row>
    <row r="484">
      <c r="A484">
        <f>IF(B484="","",ROW()-1)</f>
        <v/>
      </c>
      <c r="C484">
        <f>IFERROR(VLOOKUP(B484,Brands!$A:$B,2,FALSE),"")</f>
        <v/>
      </c>
    </row>
    <row r="485">
      <c r="A485">
        <f>IF(B485="","",ROW()-1)</f>
        <v/>
      </c>
      <c r="C485">
        <f>IFERROR(VLOOKUP(B485,Brands!$A:$B,2,FALSE),"")</f>
        <v/>
      </c>
    </row>
    <row r="486">
      <c r="A486">
        <f>IF(B486="","",ROW()-1)</f>
        <v/>
      </c>
      <c r="C486">
        <f>IFERROR(VLOOKUP(B486,Brands!$A:$B,2,FALSE),"")</f>
        <v/>
      </c>
    </row>
    <row r="487">
      <c r="A487">
        <f>IF(B487="","",ROW()-1)</f>
        <v/>
      </c>
      <c r="C487">
        <f>IFERROR(VLOOKUP(B487,Brands!$A:$B,2,FALSE),"")</f>
        <v/>
      </c>
    </row>
    <row r="488">
      <c r="A488">
        <f>IF(B488="","",ROW()-1)</f>
        <v/>
      </c>
      <c r="C488">
        <f>IFERROR(VLOOKUP(B488,Brands!$A:$B,2,FALSE),"")</f>
        <v/>
      </c>
    </row>
    <row r="489">
      <c r="A489">
        <f>IF(B489="","",ROW()-1)</f>
        <v/>
      </c>
      <c r="C489">
        <f>IFERROR(VLOOKUP(B489,Brands!$A:$B,2,FALSE),"")</f>
        <v/>
      </c>
    </row>
    <row r="490">
      <c r="A490">
        <f>IF(B490="","",ROW()-1)</f>
        <v/>
      </c>
      <c r="C490">
        <f>IFERROR(VLOOKUP(B490,Brands!$A:$B,2,FALSE),"")</f>
        <v/>
      </c>
    </row>
    <row r="491">
      <c r="A491">
        <f>IF(B491="","",ROW()-1)</f>
        <v/>
      </c>
      <c r="C491">
        <f>IFERROR(VLOOKUP(B491,Brands!$A:$B,2,FALSE),"")</f>
        <v/>
      </c>
    </row>
    <row r="492">
      <c r="A492">
        <f>IF(B492="","",ROW()-1)</f>
        <v/>
      </c>
      <c r="C492">
        <f>IFERROR(VLOOKUP(B492,Brands!$A:$B,2,FALSE),"")</f>
        <v/>
      </c>
    </row>
    <row r="493">
      <c r="A493">
        <f>IF(B493="","",ROW()-1)</f>
        <v/>
      </c>
      <c r="C493">
        <f>IFERROR(VLOOKUP(B493,Brands!$A:$B,2,FALSE),"")</f>
        <v/>
      </c>
    </row>
    <row r="494">
      <c r="A494">
        <f>IF(B494="","",ROW()-1)</f>
        <v/>
      </c>
      <c r="C494">
        <f>IFERROR(VLOOKUP(B494,Brands!$A:$B,2,FALSE),"")</f>
        <v/>
      </c>
    </row>
    <row r="495">
      <c r="A495">
        <f>IF(B495="","",ROW()-1)</f>
        <v/>
      </c>
      <c r="C495">
        <f>IFERROR(VLOOKUP(B495,Brands!$A:$B,2,FALSE),"")</f>
        <v/>
      </c>
    </row>
    <row r="496">
      <c r="A496">
        <f>IF(B496="","",ROW()-1)</f>
        <v/>
      </c>
      <c r="C496">
        <f>IFERROR(VLOOKUP(B496,Brands!$A:$B,2,FALSE),"")</f>
        <v/>
      </c>
    </row>
    <row r="497">
      <c r="A497">
        <f>IF(B497="","",ROW()-1)</f>
        <v/>
      </c>
      <c r="C497">
        <f>IFERROR(VLOOKUP(B497,Brands!$A:$B,2,FALSE),"")</f>
        <v/>
      </c>
    </row>
    <row r="498">
      <c r="A498">
        <f>IF(B498="","",ROW()-1)</f>
        <v/>
      </c>
      <c r="C498">
        <f>IFERROR(VLOOKUP(B498,Brands!$A:$B,2,FALSE),"")</f>
        <v/>
      </c>
    </row>
    <row r="499">
      <c r="A499">
        <f>IF(B499="","",ROW()-1)</f>
        <v/>
      </c>
      <c r="C499">
        <f>IFERROR(VLOOKUP(B499,Brands!$A:$B,2,FALSE),"")</f>
        <v/>
      </c>
    </row>
    <row r="500">
      <c r="A500">
        <f>IF(B500="","",ROW()-1)</f>
        <v/>
      </c>
      <c r="C500">
        <f>IFERROR(VLOOKUP(B500,Brands!$A:$B,2,FALSE),"")</f>
        <v/>
      </c>
    </row>
    <row r="501">
      <c r="A501">
        <f>IF(B501="","",ROW()-1)</f>
        <v/>
      </c>
      <c r="C501">
        <f>IFERROR(VLOOKUP(B501,Brands!$A:$B,2,FALSE),"")</f>
        <v/>
      </c>
    </row>
    <row r="502">
      <c r="A502">
        <f>IF(B502="","",ROW()-1)</f>
        <v/>
      </c>
      <c r="C502">
        <f>IFERROR(VLOOKUP(B502,Brands!$A:$B,2,FALSE),"")</f>
        <v/>
      </c>
    </row>
    <row r="503">
      <c r="A503">
        <f>IF(B503="","",ROW()-1)</f>
        <v/>
      </c>
      <c r="C503">
        <f>IFERROR(VLOOKUP(B503,Brands!$A:$B,2,FALSE),"")</f>
        <v/>
      </c>
    </row>
    <row r="504">
      <c r="A504">
        <f>IF(B504="","",ROW()-1)</f>
        <v/>
      </c>
      <c r="C504">
        <f>IFERROR(VLOOKUP(B504,Brands!$A:$B,2,FALSE),"")</f>
        <v/>
      </c>
    </row>
    <row r="505">
      <c r="A505">
        <f>IF(B505="","",ROW()-1)</f>
        <v/>
      </c>
      <c r="C505">
        <f>IFERROR(VLOOKUP(B505,Brands!$A:$B,2,FALSE),"")</f>
        <v/>
      </c>
    </row>
    <row r="506">
      <c r="A506">
        <f>IF(B506="","",ROW()-1)</f>
        <v/>
      </c>
      <c r="C506">
        <f>IFERROR(VLOOKUP(B506,Brands!$A:$B,2,FALSE),"")</f>
        <v/>
      </c>
    </row>
    <row r="507">
      <c r="A507">
        <f>IF(B507="","",ROW()-1)</f>
        <v/>
      </c>
      <c r="C507">
        <f>IFERROR(VLOOKUP(B507,Brands!$A:$B,2,FALSE),"")</f>
        <v/>
      </c>
    </row>
    <row r="508">
      <c r="A508">
        <f>IF(B508="","",ROW()-1)</f>
        <v/>
      </c>
      <c r="C508">
        <f>IFERROR(VLOOKUP(B508,Brands!$A:$B,2,FALSE),"")</f>
        <v/>
      </c>
    </row>
    <row r="509">
      <c r="A509">
        <f>IF(B509="","",ROW()-1)</f>
        <v/>
      </c>
      <c r="C509">
        <f>IFERROR(VLOOKUP(B509,Brands!$A:$B,2,FALSE),"")</f>
        <v/>
      </c>
    </row>
    <row r="510">
      <c r="A510">
        <f>IF(B510="","",ROW()-1)</f>
        <v/>
      </c>
      <c r="C510">
        <f>IFERROR(VLOOKUP(B510,Brands!$A:$B,2,FALSE),"")</f>
        <v/>
      </c>
    </row>
    <row r="511">
      <c r="A511">
        <f>IF(B511="","",ROW()-1)</f>
        <v/>
      </c>
      <c r="C511">
        <f>IFERROR(VLOOKUP(B511,Brands!$A:$B,2,FALSE),"")</f>
        <v/>
      </c>
    </row>
    <row r="512">
      <c r="A512">
        <f>IF(B512="","",ROW()-1)</f>
        <v/>
      </c>
      <c r="C512">
        <f>IFERROR(VLOOKUP(B512,Brands!$A:$B,2,FALSE),"")</f>
        <v/>
      </c>
    </row>
    <row r="513">
      <c r="A513">
        <f>IF(B513="","",ROW()-1)</f>
        <v/>
      </c>
      <c r="C513">
        <f>IFERROR(VLOOKUP(B513,Brands!$A:$B,2,FALSE),"")</f>
        <v/>
      </c>
    </row>
    <row r="514">
      <c r="A514">
        <f>IF(B514="","",ROW()-1)</f>
        <v/>
      </c>
      <c r="C514">
        <f>IFERROR(VLOOKUP(B514,Brands!$A:$B,2,FALSE),"")</f>
        <v/>
      </c>
    </row>
    <row r="515">
      <c r="A515">
        <f>IF(B515="","",ROW()-1)</f>
        <v/>
      </c>
      <c r="C515">
        <f>IFERROR(VLOOKUP(B515,Brands!$A:$B,2,FALSE),"")</f>
        <v/>
      </c>
    </row>
    <row r="516">
      <c r="A516">
        <f>IF(B516="","",ROW()-1)</f>
        <v/>
      </c>
      <c r="C516">
        <f>IFERROR(VLOOKUP(B516,Brands!$A:$B,2,FALSE),"")</f>
        <v/>
      </c>
    </row>
    <row r="517">
      <c r="A517">
        <f>IF(B517="","",ROW()-1)</f>
        <v/>
      </c>
      <c r="C517">
        <f>IFERROR(VLOOKUP(B517,Brands!$A:$B,2,FALSE),"")</f>
        <v/>
      </c>
    </row>
    <row r="518">
      <c r="A518">
        <f>IF(B518="","",ROW()-1)</f>
        <v/>
      </c>
      <c r="C518">
        <f>IFERROR(VLOOKUP(B518,Brands!$A:$B,2,FALSE),"")</f>
        <v/>
      </c>
    </row>
    <row r="519">
      <c r="A519">
        <f>IF(B519="","",ROW()-1)</f>
        <v/>
      </c>
      <c r="C519">
        <f>IFERROR(VLOOKUP(B519,Brands!$A:$B,2,FALSE),"")</f>
        <v/>
      </c>
    </row>
    <row r="520">
      <c r="A520">
        <f>IF(B520="","",ROW()-1)</f>
        <v/>
      </c>
      <c r="C520">
        <f>IFERROR(VLOOKUP(B520,Brands!$A:$B,2,FALSE),"")</f>
        <v/>
      </c>
    </row>
    <row r="521">
      <c r="A521">
        <f>IF(B521="","",ROW()-1)</f>
        <v/>
      </c>
      <c r="C521">
        <f>IFERROR(VLOOKUP(B521,Brands!$A:$B,2,FALSE),"")</f>
        <v/>
      </c>
    </row>
    <row r="522">
      <c r="A522">
        <f>IF(B522="","",ROW()-1)</f>
        <v/>
      </c>
      <c r="C522">
        <f>IFERROR(VLOOKUP(B522,Brands!$A:$B,2,FALSE),"")</f>
        <v/>
      </c>
    </row>
    <row r="523">
      <c r="A523">
        <f>IF(B523="","",ROW()-1)</f>
        <v/>
      </c>
      <c r="C523">
        <f>IFERROR(VLOOKUP(B523,Brands!$A:$B,2,FALSE),"")</f>
        <v/>
      </c>
    </row>
    <row r="524">
      <c r="A524">
        <f>IF(B524="","",ROW()-1)</f>
        <v/>
      </c>
      <c r="C524">
        <f>IFERROR(VLOOKUP(B524,Brands!$A:$B,2,FALSE),"")</f>
        <v/>
      </c>
    </row>
    <row r="525">
      <c r="A525">
        <f>IF(B525="","",ROW()-1)</f>
        <v/>
      </c>
      <c r="C525">
        <f>IFERROR(VLOOKUP(B525,Brands!$A:$B,2,FALSE),"")</f>
        <v/>
      </c>
    </row>
    <row r="526">
      <c r="A526">
        <f>IF(B526="","",ROW()-1)</f>
        <v/>
      </c>
      <c r="C526">
        <f>IFERROR(VLOOKUP(B526,Brands!$A:$B,2,FALSE),"")</f>
        <v/>
      </c>
    </row>
    <row r="527">
      <c r="A527">
        <f>IF(B527="","",ROW()-1)</f>
        <v/>
      </c>
      <c r="C527">
        <f>IFERROR(VLOOKUP(B527,Brands!$A:$B,2,FALSE),"")</f>
        <v/>
      </c>
    </row>
    <row r="528">
      <c r="A528">
        <f>IF(B528="","",ROW()-1)</f>
        <v/>
      </c>
      <c r="C528">
        <f>IFERROR(VLOOKUP(B528,Brands!$A:$B,2,FALSE),"")</f>
        <v/>
      </c>
    </row>
    <row r="529">
      <c r="A529">
        <f>IF(B529="","",ROW()-1)</f>
        <v/>
      </c>
      <c r="C529">
        <f>IFERROR(VLOOKUP(B529,Brands!$A:$B,2,FALSE),"")</f>
        <v/>
      </c>
    </row>
    <row r="530">
      <c r="A530">
        <f>IF(B530="","",ROW()-1)</f>
        <v/>
      </c>
      <c r="C530">
        <f>IFERROR(VLOOKUP(B530,Brands!$A:$B,2,FALSE),"")</f>
        <v/>
      </c>
    </row>
    <row r="531">
      <c r="A531">
        <f>IF(B531="","",ROW()-1)</f>
        <v/>
      </c>
      <c r="C531">
        <f>IFERROR(VLOOKUP(B531,Brands!$A:$B,2,FALSE),"")</f>
        <v/>
      </c>
    </row>
    <row r="532">
      <c r="A532">
        <f>IF(B532="","",ROW()-1)</f>
        <v/>
      </c>
      <c r="C532">
        <f>IFERROR(VLOOKUP(B532,Brands!$A:$B,2,FALSE),"")</f>
        <v/>
      </c>
    </row>
    <row r="533">
      <c r="A533">
        <f>IF(B533="","",ROW()-1)</f>
        <v/>
      </c>
      <c r="C533">
        <f>IFERROR(VLOOKUP(B533,Brands!$A:$B,2,FALSE),"")</f>
        <v/>
      </c>
    </row>
    <row r="534">
      <c r="A534">
        <f>IF(B534="","",ROW()-1)</f>
        <v/>
      </c>
      <c r="C534">
        <f>IFERROR(VLOOKUP(B534,Brands!$A:$B,2,FALSE),"")</f>
        <v/>
      </c>
    </row>
    <row r="535">
      <c r="A535">
        <f>IF(B535="","",ROW()-1)</f>
        <v/>
      </c>
      <c r="C535">
        <f>IFERROR(VLOOKUP(B535,Brands!$A:$B,2,FALSE),"")</f>
        <v/>
      </c>
    </row>
    <row r="536">
      <c r="A536">
        <f>IF(B536="","",ROW()-1)</f>
        <v/>
      </c>
      <c r="C536">
        <f>IFERROR(VLOOKUP(B536,Brands!$A:$B,2,FALSE),"")</f>
        <v/>
      </c>
    </row>
    <row r="537">
      <c r="A537">
        <f>IF(B537="","",ROW()-1)</f>
        <v/>
      </c>
      <c r="C537">
        <f>IFERROR(VLOOKUP(B537,Brands!$A:$B,2,FALSE),"")</f>
        <v/>
      </c>
    </row>
    <row r="538">
      <c r="A538">
        <f>IF(B538="","",ROW()-1)</f>
        <v/>
      </c>
      <c r="C538">
        <f>IFERROR(VLOOKUP(B538,Brands!$A:$B,2,FALSE),"")</f>
        <v/>
      </c>
    </row>
    <row r="539">
      <c r="A539">
        <f>IF(B539="","",ROW()-1)</f>
        <v/>
      </c>
      <c r="C539">
        <f>IFERROR(VLOOKUP(B539,Brands!$A:$B,2,FALSE),"")</f>
        <v/>
      </c>
    </row>
    <row r="540">
      <c r="A540">
        <f>IF(B540="","",ROW()-1)</f>
        <v/>
      </c>
      <c r="C540">
        <f>IFERROR(VLOOKUP(B540,Brands!$A:$B,2,FALSE),"")</f>
        <v/>
      </c>
    </row>
    <row r="541">
      <c r="A541">
        <f>IF(B541="","",ROW()-1)</f>
        <v/>
      </c>
      <c r="C541">
        <f>IFERROR(VLOOKUP(B541,Brands!$A:$B,2,FALSE),"")</f>
        <v/>
      </c>
    </row>
    <row r="542">
      <c r="A542">
        <f>IF(B542="","",ROW()-1)</f>
        <v/>
      </c>
      <c r="C542">
        <f>IFERROR(VLOOKUP(B542,Brands!$A:$B,2,FALSE),"")</f>
        <v/>
      </c>
    </row>
    <row r="543">
      <c r="A543">
        <f>IF(B543="","",ROW()-1)</f>
        <v/>
      </c>
      <c r="C543">
        <f>IFERROR(VLOOKUP(B543,Brands!$A:$B,2,FALSE),"")</f>
        <v/>
      </c>
    </row>
    <row r="544">
      <c r="A544">
        <f>IF(B544="","",ROW()-1)</f>
        <v/>
      </c>
      <c r="C544">
        <f>IFERROR(VLOOKUP(B544,Brands!$A:$B,2,FALSE),"")</f>
        <v/>
      </c>
    </row>
    <row r="545">
      <c r="A545">
        <f>IF(B545="","",ROW()-1)</f>
        <v/>
      </c>
      <c r="C545">
        <f>IFERROR(VLOOKUP(B545,Brands!$A:$B,2,FALSE),"")</f>
        <v/>
      </c>
    </row>
    <row r="546">
      <c r="A546">
        <f>IF(B546="","",ROW()-1)</f>
        <v/>
      </c>
      <c r="C546">
        <f>IFERROR(VLOOKUP(B546,Brands!$A:$B,2,FALSE),"")</f>
        <v/>
      </c>
    </row>
    <row r="547">
      <c r="A547">
        <f>IF(B547="","",ROW()-1)</f>
        <v/>
      </c>
      <c r="C547">
        <f>IFERROR(VLOOKUP(B547,Brands!$A:$B,2,FALSE),"")</f>
        <v/>
      </c>
    </row>
    <row r="548">
      <c r="A548">
        <f>IF(B548="","",ROW()-1)</f>
        <v/>
      </c>
      <c r="C548">
        <f>IFERROR(VLOOKUP(B548,Brands!$A:$B,2,FALSE),"")</f>
        <v/>
      </c>
    </row>
    <row r="549">
      <c r="A549">
        <f>IF(B549="","",ROW()-1)</f>
        <v/>
      </c>
      <c r="C549">
        <f>IFERROR(VLOOKUP(B549,Brands!$A:$B,2,FALSE),"")</f>
        <v/>
      </c>
    </row>
    <row r="550">
      <c r="A550">
        <f>IF(B550="","",ROW()-1)</f>
        <v/>
      </c>
      <c r="C550">
        <f>IFERROR(VLOOKUP(B550,Brands!$A:$B,2,FALSE),"")</f>
        <v/>
      </c>
    </row>
    <row r="551">
      <c r="A551">
        <f>IF(B551="","",ROW()-1)</f>
        <v/>
      </c>
      <c r="C551">
        <f>IFERROR(VLOOKUP(B551,Brands!$A:$B,2,FALSE),"")</f>
        <v/>
      </c>
    </row>
    <row r="552">
      <c r="A552">
        <f>IF(B552="","",ROW()-1)</f>
        <v/>
      </c>
      <c r="C552">
        <f>IFERROR(VLOOKUP(B552,Brands!$A:$B,2,FALSE),"")</f>
        <v/>
      </c>
    </row>
    <row r="553">
      <c r="A553">
        <f>IF(B553="","",ROW()-1)</f>
        <v/>
      </c>
      <c r="C553">
        <f>IFERROR(VLOOKUP(B553,Brands!$A:$B,2,FALSE),"")</f>
        <v/>
      </c>
    </row>
    <row r="554">
      <c r="A554">
        <f>IF(B554="","",ROW()-1)</f>
        <v/>
      </c>
      <c r="C554">
        <f>IFERROR(VLOOKUP(B554,Brands!$A:$B,2,FALSE),"")</f>
        <v/>
      </c>
    </row>
    <row r="555">
      <c r="A555">
        <f>IF(B555="","",ROW()-1)</f>
        <v/>
      </c>
      <c r="C555">
        <f>IFERROR(VLOOKUP(B555,Brands!$A:$B,2,FALSE),"")</f>
        <v/>
      </c>
    </row>
    <row r="556">
      <c r="A556">
        <f>IF(B556="","",ROW()-1)</f>
        <v/>
      </c>
      <c r="C556">
        <f>IFERROR(VLOOKUP(B556,Brands!$A:$B,2,FALSE),"")</f>
        <v/>
      </c>
    </row>
    <row r="557">
      <c r="A557">
        <f>IF(B557="","",ROW()-1)</f>
        <v/>
      </c>
      <c r="C557">
        <f>IFERROR(VLOOKUP(B557,Brands!$A:$B,2,FALSE),"")</f>
        <v/>
      </c>
    </row>
    <row r="558">
      <c r="A558">
        <f>IF(B558="","",ROW()-1)</f>
        <v/>
      </c>
      <c r="C558">
        <f>IFERROR(VLOOKUP(B558,Brands!$A:$B,2,FALSE),"")</f>
        <v/>
      </c>
    </row>
    <row r="559">
      <c r="A559">
        <f>IF(B559="","",ROW()-1)</f>
        <v/>
      </c>
      <c r="C559">
        <f>IFERROR(VLOOKUP(B559,Brands!$A:$B,2,FALSE),"")</f>
        <v/>
      </c>
    </row>
    <row r="560">
      <c r="A560">
        <f>IF(B560="","",ROW()-1)</f>
        <v/>
      </c>
      <c r="C560">
        <f>IFERROR(VLOOKUP(B560,Brands!$A:$B,2,FALSE),"")</f>
        <v/>
      </c>
    </row>
    <row r="561">
      <c r="A561">
        <f>IF(B561="","",ROW()-1)</f>
        <v/>
      </c>
      <c r="C561">
        <f>IFERROR(VLOOKUP(B561,Brands!$A:$B,2,FALSE),"")</f>
        <v/>
      </c>
    </row>
    <row r="562">
      <c r="A562">
        <f>IF(B562="","",ROW()-1)</f>
        <v/>
      </c>
      <c r="C562">
        <f>IFERROR(VLOOKUP(B562,Brands!$A:$B,2,FALSE),"")</f>
        <v/>
      </c>
    </row>
    <row r="563">
      <c r="A563">
        <f>IF(B563="","",ROW()-1)</f>
        <v/>
      </c>
      <c r="C563">
        <f>IFERROR(VLOOKUP(B563,Brands!$A:$B,2,FALSE),"")</f>
        <v/>
      </c>
    </row>
    <row r="564">
      <c r="A564">
        <f>IF(B564="","",ROW()-1)</f>
        <v/>
      </c>
      <c r="C564">
        <f>IFERROR(VLOOKUP(B564,Brands!$A:$B,2,FALSE),"")</f>
        <v/>
      </c>
    </row>
    <row r="565">
      <c r="A565">
        <f>IF(B565="","",ROW()-1)</f>
        <v/>
      </c>
      <c r="C565">
        <f>IFERROR(VLOOKUP(B565,Brands!$A:$B,2,FALSE),"")</f>
        <v/>
      </c>
    </row>
    <row r="566">
      <c r="A566">
        <f>IF(B566="","",ROW()-1)</f>
        <v/>
      </c>
      <c r="C566">
        <f>IFERROR(VLOOKUP(B566,Brands!$A:$B,2,FALSE),"")</f>
        <v/>
      </c>
    </row>
    <row r="567">
      <c r="A567">
        <f>IF(B567="","",ROW()-1)</f>
        <v/>
      </c>
      <c r="C567">
        <f>IFERROR(VLOOKUP(B567,Brands!$A:$B,2,FALSE),"")</f>
        <v/>
      </c>
    </row>
    <row r="568">
      <c r="A568">
        <f>IF(B568="","",ROW()-1)</f>
        <v/>
      </c>
      <c r="C568">
        <f>IFERROR(VLOOKUP(B568,Brands!$A:$B,2,FALSE),"")</f>
        <v/>
      </c>
    </row>
    <row r="569">
      <c r="A569">
        <f>IF(B569="","",ROW()-1)</f>
        <v/>
      </c>
      <c r="C569">
        <f>IFERROR(VLOOKUP(B569,Brands!$A:$B,2,FALSE),"")</f>
        <v/>
      </c>
    </row>
    <row r="570">
      <c r="A570">
        <f>IF(B570="","",ROW()-1)</f>
        <v/>
      </c>
      <c r="C570">
        <f>IFERROR(VLOOKUP(B570,Brands!$A:$B,2,FALSE),"")</f>
        <v/>
      </c>
    </row>
    <row r="571">
      <c r="A571">
        <f>IF(B571="","",ROW()-1)</f>
        <v/>
      </c>
      <c r="C571">
        <f>IFERROR(VLOOKUP(B571,Brands!$A:$B,2,FALSE),"")</f>
        <v/>
      </c>
    </row>
    <row r="572">
      <c r="A572">
        <f>IF(B572="","",ROW()-1)</f>
        <v/>
      </c>
      <c r="C572">
        <f>IFERROR(VLOOKUP(B572,Brands!$A:$B,2,FALSE),"")</f>
        <v/>
      </c>
    </row>
    <row r="573">
      <c r="A573">
        <f>IF(B573="","",ROW()-1)</f>
        <v/>
      </c>
      <c r="C573">
        <f>IFERROR(VLOOKUP(B573,Brands!$A:$B,2,FALSE),"")</f>
        <v/>
      </c>
    </row>
    <row r="574">
      <c r="A574">
        <f>IF(B574="","",ROW()-1)</f>
        <v/>
      </c>
      <c r="C574">
        <f>IFERROR(VLOOKUP(B574,Brands!$A:$B,2,FALSE),"")</f>
        <v/>
      </c>
    </row>
    <row r="575">
      <c r="A575">
        <f>IF(B575="","",ROW()-1)</f>
        <v/>
      </c>
      <c r="C575">
        <f>IFERROR(VLOOKUP(B575,Brands!$A:$B,2,FALSE),"")</f>
        <v/>
      </c>
    </row>
    <row r="576">
      <c r="A576">
        <f>IF(B576="","",ROW()-1)</f>
        <v/>
      </c>
      <c r="C576">
        <f>IFERROR(VLOOKUP(B576,Brands!$A:$B,2,FALSE),"")</f>
        <v/>
      </c>
    </row>
    <row r="577">
      <c r="A577">
        <f>IF(B577="","",ROW()-1)</f>
        <v/>
      </c>
      <c r="C577">
        <f>IFERROR(VLOOKUP(B577,Brands!$A:$B,2,FALSE),"")</f>
        <v/>
      </c>
    </row>
    <row r="578">
      <c r="A578">
        <f>IF(B578="","",ROW()-1)</f>
        <v/>
      </c>
      <c r="C578">
        <f>IFERROR(VLOOKUP(B578,Brands!$A:$B,2,FALSE),"")</f>
        <v/>
      </c>
    </row>
    <row r="579">
      <c r="A579">
        <f>IF(B579="","",ROW()-1)</f>
        <v/>
      </c>
      <c r="C579">
        <f>IFERROR(VLOOKUP(B579,Brands!$A:$B,2,FALSE),"")</f>
        <v/>
      </c>
    </row>
    <row r="580">
      <c r="A580">
        <f>IF(B580="","",ROW()-1)</f>
        <v/>
      </c>
      <c r="C580">
        <f>IFERROR(VLOOKUP(B580,Brands!$A:$B,2,FALSE),"")</f>
        <v/>
      </c>
    </row>
    <row r="581">
      <c r="A581">
        <f>IF(B581="","",ROW()-1)</f>
        <v/>
      </c>
      <c r="C581">
        <f>IFERROR(VLOOKUP(B581,Brands!$A:$B,2,FALSE),"")</f>
        <v/>
      </c>
    </row>
    <row r="582">
      <c r="A582">
        <f>IF(B582="","",ROW()-1)</f>
        <v/>
      </c>
      <c r="C582">
        <f>IFERROR(VLOOKUP(B582,Brands!$A:$B,2,FALSE),"")</f>
        <v/>
      </c>
    </row>
    <row r="583">
      <c r="A583">
        <f>IF(B583="","",ROW()-1)</f>
        <v/>
      </c>
      <c r="C583">
        <f>IFERROR(VLOOKUP(B583,Brands!$A:$B,2,FALSE),"")</f>
        <v/>
      </c>
    </row>
    <row r="584">
      <c r="A584">
        <f>IF(B584="","",ROW()-1)</f>
        <v/>
      </c>
      <c r="C584">
        <f>IFERROR(VLOOKUP(B584,Brands!$A:$B,2,FALSE),"")</f>
        <v/>
      </c>
    </row>
    <row r="585">
      <c r="A585">
        <f>IF(B585="","",ROW()-1)</f>
        <v/>
      </c>
      <c r="C585">
        <f>IFERROR(VLOOKUP(B585,Brands!$A:$B,2,FALSE),"")</f>
        <v/>
      </c>
    </row>
    <row r="586">
      <c r="A586">
        <f>IF(B586="","",ROW()-1)</f>
        <v/>
      </c>
      <c r="C586">
        <f>IFERROR(VLOOKUP(B586,Brands!$A:$B,2,FALSE),"")</f>
        <v/>
      </c>
    </row>
    <row r="587">
      <c r="A587">
        <f>IF(B587="","",ROW()-1)</f>
        <v/>
      </c>
      <c r="C587">
        <f>IFERROR(VLOOKUP(B587,Brands!$A:$B,2,FALSE),"")</f>
        <v/>
      </c>
    </row>
    <row r="588">
      <c r="A588">
        <f>IF(B588="","",ROW()-1)</f>
        <v/>
      </c>
      <c r="C588">
        <f>IFERROR(VLOOKUP(B588,Brands!$A:$B,2,FALSE),"")</f>
        <v/>
      </c>
    </row>
    <row r="589">
      <c r="A589">
        <f>IF(B589="","",ROW()-1)</f>
        <v/>
      </c>
      <c r="C589">
        <f>IFERROR(VLOOKUP(B589,Brands!$A:$B,2,FALSE),"")</f>
        <v/>
      </c>
    </row>
    <row r="590">
      <c r="A590">
        <f>IF(B590="","",ROW()-1)</f>
        <v/>
      </c>
      <c r="C590">
        <f>IFERROR(VLOOKUP(B590,Brands!$A:$B,2,FALSE),"")</f>
        <v/>
      </c>
    </row>
    <row r="591">
      <c r="A591">
        <f>IF(B591="","",ROW()-1)</f>
        <v/>
      </c>
      <c r="C591">
        <f>IFERROR(VLOOKUP(B591,Brands!$A:$B,2,FALSE),"")</f>
        <v/>
      </c>
    </row>
    <row r="592">
      <c r="A592">
        <f>IF(B592="","",ROW()-1)</f>
        <v/>
      </c>
      <c r="C592">
        <f>IFERROR(VLOOKUP(B592,Brands!$A:$B,2,FALSE),"")</f>
        <v/>
      </c>
    </row>
    <row r="593">
      <c r="A593">
        <f>IF(B593="","",ROW()-1)</f>
        <v/>
      </c>
      <c r="C593">
        <f>IFERROR(VLOOKUP(B593,Brands!$A:$B,2,FALSE),"")</f>
        <v/>
      </c>
    </row>
    <row r="594">
      <c r="A594">
        <f>IF(B594="","",ROW()-1)</f>
        <v/>
      </c>
      <c r="C594">
        <f>IFERROR(VLOOKUP(B594,Brands!$A:$B,2,FALSE),"")</f>
        <v/>
      </c>
    </row>
    <row r="595">
      <c r="A595">
        <f>IF(B595="","",ROW()-1)</f>
        <v/>
      </c>
      <c r="C595">
        <f>IFERROR(VLOOKUP(B595,Brands!$A:$B,2,FALSE),"")</f>
        <v/>
      </c>
    </row>
    <row r="596">
      <c r="A596">
        <f>IF(B596="","",ROW()-1)</f>
        <v/>
      </c>
      <c r="C596">
        <f>IFERROR(VLOOKUP(B596,Brands!$A:$B,2,FALSE),"")</f>
        <v/>
      </c>
    </row>
    <row r="597">
      <c r="A597">
        <f>IF(B597="","",ROW()-1)</f>
        <v/>
      </c>
      <c r="C597">
        <f>IFERROR(VLOOKUP(B597,Brands!$A:$B,2,FALSE),"")</f>
        <v/>
      </c>
    </row>
    <row r="598">
      <c r="A598">
        <f>IF(B598="","",ROW()-1)</f>
        <v/>
      </c>
      <c r="C598">
        <f>IFERROR(VLOOKUP(B598,Brands!$A:$B,2,FALSE),"")</f>
        <v/>
      </c>
    </row>
    <row r="599">
      <c r="A599">
        <f>IF(B599="","",ROW()-1)</f>
        <v/>
      </c>
      <c r="C599">
        <f>IFERROR(VLOOKUP(B599,Brands!$A:$B,2,FALSE),"")</f>
        <v/>
      </c>
    </row>
    <row r="600">
      <c r="A600">
        <f>IF(B600="","",ROW()-1)</f>
        <v/>
      </c>
      <c r="C600">
        <f>IFERROR(VLOOKUP(B600,Brands!$A:$B,2,FALSE),"")</f>
        <v/>
      </c>
    </row>
    <row r="601">
      <c r="A601">
        <f>IF(B601="","",ROW()-1)</f>
        <v/>
      </c>
      <c r="C601">
        <f>IFERROR(VLOOKUP(B601,Brands!$A:$B,2,FALSE),"")</f>
        <v/>
      </c>
    </row>
  </sheetData>
  <autoFilter ref="A1:V601"/>
  <dataValidations count="12">
    <dataValidation sqref="B2:B601" showDropDown="0" showInputMessage="0" showErrorMessage="0" allowBlank="1" errorTitle="Not in the controlled vocabulary" error="Pick a value from the __brands__ list" type="list">
      <formula1>=Brands!$A$2:$A$17</formula1>
    </dataValidation>
    <dataValidation sqref="D2:D601" showDropDown="0" showInputMessage="0" showErrorMessage="0" allowBlank="1" errorTitle="Not in the controlled vocabulary" error="Pick a value from the channel list" type="list">
      <formula1>=Codes!$A$2:$A$13</formula1>
    </dataValidation>
    <dataValidation sqref="G2:G601" showDropDown="0" showInputMessage="0" showErrorMessage="0" allowBlank="1" errorTitle="Not in the controlled vocabulary" error="Pick a value from the format list" type="list">
      <formula1>=Codes!$B$2:$B$9</formula1>
    </dataValidation>
    <dataValidation sqref="I2:I601" showDropDown="0" showInputMessage="0" showErrorMessage="0" allowBlank="1" errorTitle="Not in the controlled vocabulary" error="Pick a value from the language list" type="list">
      <formula1>=Codes!$C$2:$C$6</formula1>
    </dataValidation>
    <dataValidation sqref="J2:J601" showDropDown="0" showInputMessage="0" showErrorMessage="0" allowBlank="1" errorTitle="Not in the controlled vocabulary" error="Pick a value from the product_line list" type="list">
      <formula1>=Codes!$D$2:$D$10</formula1>
    </dataValidation>
    <dataValidation sqref="K2:K601" showDropDown="0" showInputMessage="0" showErrorMessage="0" allowBlank="1" errorTitle="Not in the controlled vocabulary" error="Pick a value from the claim list" type="list">
      <formula1>=Codes!$E$2:$E$11</formula1>
    </dataValidation>
    <dataValidation sqref="L2:L601" showDropDown="0" showInputMessage="0" showErrorMessage="0" allowBlank="1" errorTitle="Not in the controlled vocabulary" error="Pick a value from the claim list" type="list">
      <formula1>=Codes!$E$2:$E$11</formula1>
    </dataValidation>
    <dataValidation sqref="M2:M601" showDropDown="0" showInputMessage="0" showErrorMessage="0" allowBlank="1" errorTitle="Not in the controlled vocabulary" error="Pick a value from the register list" type="list">
      <formula1>=Codes!$F$2:$F$7</formula1>
    </dataValidation>
    <dataValidation sqref="N2:N601" showDropDown="0" showInputMessage="0" showErrorMessage="0" allowBlank="1" errorTitle="Not in the controlled vocabulary" error="Pick a value from the proof_device list" type="list">
      <formula1>=Codes!$G$2:$G$9</formula1>
    </dataValidation>
    <dataValidation sqref="O2:O601" showDropDown="0" showInputMessage="0" showErrorMessage="0" allowBlank="1" errorTitle="Not in the controlled vocabulary" error="Pick a value from the cta_channel list" type="list">
      <formula1>=Codes!$H$2:$H$7</formula1>
    </dataValidation>
    <dataValidation sqref="P2:P601" showDropDown="0" showInputMessage="0" showErrorMessage="0" allowBlank="1" errorTitle="Not in the controlled vocabulary" error="Pick a value from the audience_signal list" type="list">
      <formula1>=Codes!$I$2:$I$8</formula1>
    </dataValidation>
    <dataValidation sqref="Q2:Q601" showDropDown="0" showInputMessage="0" showErrorMessage="0" allowBlank="1" errorTitle="Not in the controlled vocabulary" error="Pick a value from the yes_no list" type="list">
      <formula1>=Codes!$J$2:$J$3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82" customWidth="1" min="2" max="2"/>
  </cols>
  <sheetData>
    <row r="1">
      <c r="A1" s="2" t="inlineStr">
        <is>
          <t>Competitor communications audit</t>
        </is>
      </c>
      <c r="B1" s="3" t="inlineStr"/>
    </row>
    <row r="2">
      <c r="A2" s="2" t="inlineStr">
        <is>
          <t>Category</t>
        </is>
      </c>
      <c r="B2" s="3" t="inlineStr">
        <is>
          <t>Life insurance (Pakistan) - SLIC P78118</t>
        </is>
      </c>
    </row>
    <row r="3">
      <c r="A3" s="2" t="inlineStr">
        <is>
          <t>Collection started</t>
        </is>
      </c>
      <c r="B3" s="3" t="inlineStr">
        <is>
          <t>2026-08-26</t>
        </is>
      </c>
    </row>
    <row r="4">
      <c r="A4" s="2" t="inlineStr">
        <is>
          <t>Collection window</t>
        </is>
      </c>
      <c r="B4" s="4" t="inlineStr">
        <is>
          <t>Sep 2025 - Aug 2026 (owned-channel campaign library has no per-asset dates; date_last_seen = date collected)</t>
        </is>
      </c>
    </row>
    <row r="5">
      <c r="A5" s="2" t="inlineStr">
        <is>
          <t>Brands in scope</t>
        </is>
      </c>
      <c r="B5" s="3" t="inlineStr">
        <is>
          <t>16</t>
        </is>
      </c>
    </row>
    <row r="6">
      <c r="A6" s="2" t="inlineStr"/>
      <c r="B6" s="3" t="inlineStr"/>
    </row>
    <row r="7">
      <c r="A7" s="2" t="inlineStr">
        <is>
          <t>Core category objection</t>
        </is>
      </c>
      <c r="B7" s="4" t="inlineStr">
        <is>
          <t>&lt;the single objection ads are coded against, e.g. 'will they actually pay out?'&gt;</t>
        </is>
      </c>
    </row>
    <row r="8">
      <c r="A8" s="2" t="inlineStr">
        <is>
          <t>Row = concept or asset?</t>
        </is>
      </c>
      <c r="B8" s="4" t="inlineStr">
        <is>
          <t>&lt;decide once, apply consistently; note variant_count&gt;</t>
        </is>
      </c>
    </row>
    <row r="9">
      <c r="A9" s="2" t="inlineStr"/>
      <c r="B9" s="3" t="inlineStr"/>
    </row>
    <row r="10">
      <c r="A10" s="2" t="inlineStr">
        <is>
          <t>Before coding</t>
        </is>
      </c>
      <c r="B10" s="3" t="inlineStr">
        <is>
          <t>Read references/coding-schema.md. Code the same ten ads as a group, reconcile, then split the work.</t>
        </is>
      </c>
    </row>
    <row r="11">
      <c r="A11" s="2" t="inlineStr">
        <is>
          <t>Every row needs</t>
        </is>
      </c>
      <c r="B11" s="3" t="inlineStr">
        <is>
          <t>a source_url. Rows without provenance are dropped at analysis.</t>
        </is>
      </c>
    </row>
    <row r="12">
      <c r="A12" s="2" t="inlineStr">
        <is>
          <t>Screenshots</t>
        </is>
      </c>
      <c r="B12" s="4" t="inlineStr">
        <is>
          <t>&lt;folder path -- ads come down; keep the evidence&gt;</t>
        </is>
      </c>
    </row>
    <row r="13">
      <c r="A13" s="2" t="inlineStr"/>
      <c r="B13" s="3" t="inlineStr"/>
    </row>
    <row r="14">
      <c r="A14" s="2" t="inlineStr">
        <is>
          <t>Analyse with</t>
        </is>
      </c>
      <c r="B14" s="3" t="inlineStr">
        <is>
          <t>python analyze_audit.py capture.xlsx --out &lt;dir&gt;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60" customWidth="1" min="3" max="3"/>
  </cols>
  <sheetData>
    <row r="1">
      <c r="A1" s="1" t="inlineStr">
        <is>
          <t>brand</t>
        </is>
      </c>
      <c r="B1" s="1" t="inlineStr">
        <is>
          <t>ring</t>
        </is>
      </c>
      <c r="C1" s="1" t="inlineStr">
        <is>
          <t>notes</t>
        </is>
      </c>
    </row>
    <row r="2">
      <c r="A2" t="inlineStr">
        <is>
          <t>State Life Insurance Corporation of Pakistan</t>
        </is>
      </c>
      <c r="B2" t="inlineStr">
        <is>
          <t>client</t>
        </is>
      </c>
      <c r="C2" s="5" t="inlineStr">
        <is>
          <t>Market leader in life; state-owned. Sovereign backing + tied agency network are the assets competitors cannot copy.</t>
        </is>
      </c>
    </row>
    <row r="3">
      <c r="A3" t="inlineStr">
        <is>
          <t>EFU Life Assurance</t>
        </is>
      </c>
      <c r="B3" t="inlineStr">
        <is>
          <t>direct</t>
        </is>
      </c>
      <c r="C3" s="5" t="inlineStr">
        <is>
          <t>Largest private life insurer. Heavy bancassurance distribution.</t>
        </is>
      </c>
    </row>
    <row r="4">
      <c r="A4" t="inlineStr">
        <is>
          <t>Jubilee Life Insurance</t>
        </is>
      </c>
      <c r="B4" t="inlineStr">
        <is>
          <t>direct</t>
        </is>
      </c>
      <c r="C4" s="5" t="inlineStr">
        <is>
          <t>Aga Khan / Habib group. Strong bancassurance and digital presence.</t>
        </is>
      </c>
    </row>
    <row r="5">
      <c r="A5" t="inlineStr">
        <is>
          <t>Adamjee Life Assurance</t>
        </is>
      </c>
      <c r="B5" t="inlineStr">
        <is>
          <t>direct</t>
        </is>
      </c>
      <c r="C5" s="5" t="inlineStr">
        <is>
          <t>MCB-linked distribution.</t>
        </is>
      </c>
    </row>
    <row r="6">
      <c r="A6" t="inlineStr">
        <is>
          <t>IGI Life Insurance</t>
        </is>
      </c>
      <c r="B6" t="inlineStr">
        <is>
          <t>direct</t>
        </is>
      </c>
      <c r="C6" s="5" t="inlineStr">
        <is>
          <t>Packages group. Smaller, affluent skew.</t>
        </is>
      </c>
    </row>
    <row r="7">
      <c r="A7" t="inlineStr">
        <is>
          <t>Askari Life Assurance</t>
        </is>
      </c>
      <c r="B7" t="inlineStr">
        <is>
          <t>direct</t>
        </is>
      </c>
      <c r="C7" s="5" t="inlineStr">
        <is>
          <t>Army Welfare Trust linked - note it also claims an institutional-trust territory.</t>
        </is>
      </c>
    </row>
    <row r="8">
      <c r="A8" t="inlineStr">
        <is>
          <t>TPL Life Insurance</t>
        </is>
      </c>
      <c r="B8" t="inlineStr">
        <is>
          <t>direct</t>
        </is>
      </c>
      <c r="C8" s="5" t="inlineStr">
        <is>
          <t>Digital-first challenger; check convenience_digital claim.</t>
        </is>
      </c>
    </row>
    <row r="9">
      <c r="A9" t="inlineStr">
        <is>
          <t>Pak-Qatar Family Takaful</t>
        </is>
      </c>
      <c r="B9" t="inlineStr">
        <is>
          <t>adjacent</t>
        </is>
      </c>
      <c r="C9" s="5" t="inlineStr">
        <is>
          <t>Dedicated family Takaful operator.</t>
        </is>
      </c>
    </row>
    <row r="10">
      <c r="A10" t="inlineStr">
        <is>
          <t>Dawood Family Takaful</t>
        </is>
      </c>
      <c r="B10" t="inlineStr">
        <is>
          <t>adjacent</t>
        </is>
      </c>
      <c r="C10" s="5" t="inlineStr">
        <is>
          <t>Dedicated family Takaful operator.</t>
        </is>
      </c>
    </row>
    <row r="11">
      <c r="A11" t="inlineStr">
        <is>
          <t>EFU Life Window Takaful</t>
        </is>
      </c>
      <c r="B11" t="inlineStr">
        <is>
          <t>adjacent</t>
        </is>
      </c>
      <c r="C11" s="5" t="inlineStr">
        <is>
          <t>Search separately from EFU Life - window operations advertise under their own page names.</t>
        </is>
      </c>
    </row>
    <row r="12">
      <c r="A12" t="inlineStr">
        <is>
          <t>Jubilee Life Window Takaful</t>
        </is>
      </c>
      <c r="B12" t="inlineStr">
        <is>
          <t>adjacent</t>
        </is>
      </c>
      <c r="C12" s="5" t="inlineStr">
        <is>
          <t>Search separately from Jubilee Life.</t>
        </is>
      </c>
    </row>
    <row r="13">
      <c r="A13" t="inlineStr">
        <is>
          <t>Adamjee Life Window Takaful</t>
        </is>
      </c>
      <c r="B13" t="inlineStr">
        <is>
          <t>adjacent</t>
        </is>
      </c>
      <c r="C13" s="5" t="inlineStr">
        <is>
          <t>Search separately from Adamjee Life.</t>
        </is>
      </c>
    </row>
    <row r="14">
      <c r="A14" t="inlineStr">
        <is>
          <t>Postal Life Insurance</t>
        </is>
      </c>
      <c r="B14" t="inlineStr">
        <is>
          <t>substitute</t>
        </is>
      </c>
      <c r="C14" s="5" t="inlineStr">
        <is>
          <t>State-run alternative; low advertising expected but confirm.</t>
        </is>
      </c>
    </row>
    <row r="15">
      <c r="A15" t="inlineStr">
        <is>
          <t>Central Directorate of National Savings</t>
        </is>
      </c>
      <c r="B15" t="inlineStr">
        <is>
          <t>substitute</t>
        </is>
      </c>
      <c r="C15" s="5" t="inlineStr">
        <is>
          <t>Competes for the same protection/savings wallet - certificates, pension schemes.</t>
        </is>
      </c>
    </row>
    <row r="16">
      <c r="A16" t="inlineStr">
        <is>
          <t>Al Meezan Investments</t>
        </is>
      </c>
      <c r="B16" t="inlineStr">
        <is>
          <t>substitute</t>
        </is>
      </c>
      <c r="C16" s="5" t="inlineStr">
        <is>
          <t>Shariah-compliant savings and retirement funds - competes for faith_compliance + retirement.</t>
        </is>
      </c>
    </row>
    <row r="17">
      <c r="A17" t="inlineStr">
        <is>
          <t>UBL Fund Managers</t>
        </is>
      </c>
      <c r="B17" t="inlineStr">
        <is>
          <t>substitute</t>
        </is>
      </c>
      <c r="C17" s="5" t="inlineStr">
        <is>
          <t>Retirement and savings funds.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channel</t>
        </is>
      </c>
      <c r="B1" s="1" t="inlineStr">
        <is>
          <t>format</t>
        </is>
      </c>
      <c r="C1" s="1" t="inlineStr">
        <is>
          <t>language</t>
        </is>
      </c>
      <c r="D1" s="1" t="inlineStr">
        <is>
          <t>product_line</t>
        </is>
      </c>
      <c r="E1" s="1" t="inlineStr">
        <is>
          <t>claim</t>
        </is>
      </c>
      <c r="F1" s="1" t="inlineStr">
        <is>
          <t>register</t>
        </is>
      </c>
      <c r="G1" s="1" t="inlineStr">
        <is>
          <t>proof_device</t>
        </is>
      </c>
      <c r="H1" s="1" t="inlineStr">
        <is>
          <t>cta_channel</t>
        </is>
      </c>
      <c r="I1" s="1" t="inlineStr">
        <is>
          <t>audience_signal</t>
        </is>
      </c>
      <c r="J1" s="1" t="inlineStr">
        <is>
          <t>yes_no</t>
        </is>
      </c>
    </row>
    <row r="2">
      <c r="A2" t="inlineStr">
        <is>
          <t>meta</t>
        </is>
      </c>
      <c r="B2" t="inlineStr">
        <is>
          <t>static</t>
        </is>
      </c>
      <c r="C2" t="inlineStr">
        <is>
          <t>urdu</t>
        </is>
      </c>
      <c r="D2" t="inlineStr">
        <is>
          <t>individual_life</t>
        </is>
      </c>
      <c r="E2" t="inlineStr">
        <is>
          <t>protection</t>
        </is>
      </c>
      <c r="F2" t="inlineStr">
        <is>
          <t>fear</t>
        </is>
      </c>
      <c r="G2" t="inlineStr">
        <is>
          <t>sovereign_guarantee</t>
        </is>
      </c>
      <c r="H2" t="inlineStr">
        <is>
          <t>agent</t>
        </is>
      </c>
      <c r="I2" t="inlineStr">
        <is>
          <t>mass</t>
        </is>
      </c>
      <c r="J2" t="inlineStr">
        <is>
          <t>yes</t>
        </is>
      </c>
    </row>
    <row r="3">
      <c r="A3" t="inlineStr">
        <is>
          <t>google_search</t>
        </is>
      </c>
      <c r="B3" t="inlineStr">
        <is>
          <t>carousel</t>
        </is>
      </c>
      <c r="C3" t="inlineStr">
        <is>
          <t>english</t>
        </is>
      </c>
      <c r="D3" t="inlineStr">
        <is>
          <t>group_corporate</t>
        </is>
      </c>
      <c r="E3" t="inlineStr">
        <is>
          <t>savings_return</t>
        </is>
      </c>
      <c r="F3" t="inlineStr">
        <is>
          <t>aspiration</t>
        </is>
      </c>
      <c r="G3" t="inlineStr">
        <is>
          <t>ratings_awards</t>
        </is>
      </c>
      <c r="H3" t="inlineStr">
        <is>
          <t>bank_branch</t>
        </is>
      </c>
      <c r="I3" t="inlineStr">
        <is>
          <t>affluent</t>
        </is>
      </c>
      <c r="J3" t="inlineStr">
        <is>
          <t>no</t>
        </is>
      </c>
    </row>
    <row r="4">
      <c r="A4" t="inlineStr">
        <is>
          <t>google_display</t>
        </is>
      </c>
      <c r="B4" t="inlineStr">
        <is>
          <t>video</t>
        </is>
      </c>
      <c r="C4" t="inlineStr">
        <is>
          <t>mixed</t>
        </is>
      </c>
      <c r="D4" t="inlineStr">
        <is>
          <t>takaful</t>
        </is>
      </c>
      <c r="E4" t="inlineStr">
        <is>
          <t>education_marriage</t>
        </is>
      </c>
      <c r="F4" t="inlineStr">
        <is>
          <t>duty</t>
        </is>
      </c>
      <c r="G4" t="inlineStr">
        <is>
          <t>testimonial</t>
        </is>
      </c>
      <c r="H4" t="inlineStr">
        <is>
          <t>digital_direct</t>
        </is>
      </c>
      <c r="I4" t="inlineStr">
        <is>
          <t>women</t>
        </is>
      </c>
    </row>
    <row r="5">
      <c r="A5" t="inlineStr">
        <is>
          <t>youtube</t>
        </is>
      </c>
      <c r="B5" t="inlineStr">
        <is>
          <t>long_form</t>
        </is>
      </c>
      <c r="C5" t="inlineStr">
        <is>
          <t>regional</t>
        </is>
      </c>
      <c r="D5" t="inlineStr">
        <is>
          <t>savings_investment</t>
        </is>
      </c>
      <c r="E5" t="inlineStr">
        <is>
          <t>retirement</t>
        </is>
      </c>
      <c r="F5" t="inlineStr">
        <is>
          <t>reassurance</t>
        </is>
      </c>
      <c r="G5" t="inlineStr">
        <is>
          <t>claim_statistics</t>
        </is>
      </c>
      <c r="H5" t="inlineStr">
        <is>
          <t>call_centre</t>
        </is>
      </c>
      <c r="I5" t="inlineStr">
        <is>
          <t>youth</t>
        </is>
      </c>
    </row>
    <row r="6">
      <c r="A6" t="inlineStr">
        <is>
          <t>tiktok</t>
        </is>
      </c>
      <c r="B6" t="inlineStr">
        <is>
          <t>print</t>
        </is>
      </c>
      <c r="C6" t="inlineStr">
        <is>
          <t>other</t>
        </is>
      </c>
      <c r="D6" t="inlineStr">
        <is>
          <t>health</t>
        </is>
      </c>
      <c r="E6" t="inlineStr">
        <is>
          <t>faith_compliance</t>
        </is>
      </c>
      <c r="F6" t="inlineStr">
        <is>
          <t>pride</t>
        </is>
      </c>
      <c r="G6" t="inlineStr">
        <is>
          <t>celebrity</t>
        </is>
      </c>
      <c r="H6" t="inlineStr">
        <is>
          <t>retail</t>
        </is>
      </c>
      <c r="I6" t="inlineStr">
        <is>
          <t>diaspora</t>
        </is>
      </c>
    </row>
    <row r="7">
      <c r="A7" t="inlineStr">
        <is>
          <t>linkedin</t>
        </is>
      </c>
      <c r="B7" t="inlineStr">
        <is>
          <t>ooh</t>
        </is>
      </c>
      <c r="D7" t="inlineStr">
        <is>
          <t>child_education</t>
        </is>
      </c>
      <c r="E7" t="inlineStr">
        <is>
          <t>national_trust</t>
        </is>
      </c>
      <c r="F7" t="inlineStr">
        <is>
          <t>humour</t>
        </is>
      </c>
      <c r="G7" t="inlineStr">
        <is>
          <t>expert_authority</t>
        </is>
      </c>
      <c r="H7" t="inlineStr">
        <is>
          <t>none</t>
        </is>
      </c>
      <c r="I7" t="inlineStr">
        <is>
          <t>sme_corporate</t>
        </is>
      </c>
    </row>
    <row r="8">
      <c r="A8" t="inlineStr">
        <is>
          <t>press</t>
        </is>
      </c>
      <c r="B8" t="inlineStr">
        <is>
          <t>radio</t>
        </is>
      </c>
      <c r="D8" t="inlineStr">
        <is>
          <t>retirement</t>
        </is>
      </c>
      <c r="E8" t="inlineStr">
        <is>
          <t>convenience_digital</t>
        </is>
      </c>
      <c r="G8" t="inlineStr">
        <is>
          <t>heritage_scale</t>
        </is>
      </c>
      <c r="I8" t="inlineStr">
        <is>
          <t>rural</t>
        </is>
      </c>
    </row>
    <row r="9">
      <c r="A9" t="inlineStr">
        <is>
          <t>tv</t>
        </is>
      </c>
      <c r="B9" t="inlineStr">
        <is>
          <t>other</t>
        </is>
      </c>
      <c r="D9" t="inlineStr">
        <is>
          <t>brand_corporate</t>
        </is>
      </c>
      <c r="E9" t="inlineStr">
        <is>
          <t>price_affordability</t>
        </is>
      </c>
      <c r="G9" t="inlineStr">
        <is>
          <t>none</t>
        </is>
      </c>
    </row>
    <row r="10">
      <c r="A10" t="inlineStr">
        <is>
          <t>radio</t>
        </is>
      </c>
      <c r="D10" t="inlineStr">
        <is>
          <t>unclear</t>
        </is>
      </c>
      <c r="E10" t="inlineStr">
        <is>
          <t>brand_corporate</t>
        </is>
      </c>
    </row>
    <row r="11">
      <c r="A11" t="inlineStr">
        <is>
          <t>ooh</t>
        </is>
      </c>
      <c r="E11" t="inlineStr">
        <is>
          <t>other</t>
        </is>
      </c>
    </row>
    <row r="12">
      <c r="A12" t="inlineStr">
        <is>
          <t>website</t>
        </is>
      </c>
    </row>
    <row r="13">
      <c r="A13" t="inlineStr">
        <is>
          <t>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14" customWidth="1" min="4" max="4"/>
    <col width="44" customWidth="1" min="5" max="5"/>
    <col width="44" customWidth="1" min="6" max="6"/>
  </cols>
  <sheetData>
    <row r="1">
      <c r="A1" s="1" t="inlineStr">
        <is>
          <t>brand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period</t>
        </is>
      </c>
      <c r="E1" s="1" t="inlineStr">
        <is>
          <t>source</t>
        </is>
      </c>
      <c r="F1" s="1" t="inlineStr">
        <is>
          <t>source_url</t>
        </is>
      </c>
    </row>
    <row r="2">
      <c r="A2" t="inlineStr">
        <is>
          <t>State Life Insurance Corporation of Pakistan</t>
        </is>
      </c>
      <c r="B2" s="6" t="inlineStr">
        <is>
          <t>&lt;e.g. gross written premium share, %&gt;</t>
        </is>
      </c>
    </row>
    <row r="3">
      <c r="A3" t="inlineStr">
        <is>
          <t>EFU Life Assurance</t>
        </is>
      </c>
    </row>
    <row r="4">
      <c r="A4" t="inlineStr">
        <is>
          <t>Jubilee Life Insurance</t>
        </is>
      </c>
    </row>
    <row r="5">
      <c r="A5" t="inlineStr">
        <is>
          <t>Adamjee Life Assurance</t>
        </is>
      </c>
    </row>
    <row r="6">
      <c r="A6" t="inlineStr">
        <is>
          <t>IGI Life Insurance</t>
        </is>
      </c>
    </row>
    <row r="7">
      <c r="A7" t="inlineStr">
        <is>
          <t>Askari Life Assurance</t>
        </is>
      </c>
    </row>
    <row r="8">
      <c r="A8" t="inlineStr">
        <is>
          <t>TPL Life Insurance</t>
        </is>
      </c>
    </row>
    <row r="9">
      <c r="A9" t="inlineStr">
        <is>
          <t>Pak-Qatar Family Takaful</t>
        </is>
      </c>
    </row>
    <row r="10">
      <c r="A10" t="inlineStr">
        <is>
          <t>Dawood Family Takaful</t>
        </is>
      </c>
    </row>
    <row r="11">
      <c r="A11" t="inlineStr">
        <is>
          <t>EFU Life Window Takaful</t>
        </is>
      </c>
    </row>
    <row r="12">
      <c r="A12" t="inlineStr">
        <is>
          <t>Jubilee Life Window Takaful</t>
        </is>
      </c>
    </row>
    <row r="13">
      <c r="A13" t="inlineStr">
        <is>
          <t>Adamjee Life Window Takaful</t>
        </is>
      </c>
    </row>
    <row r="14">
      <c r="A14" t="inlineStr">
        <is>
          <t>Postal Life Insurance</t>
        </is>
      </c>
    </row>
    <row r="15">
      <c r="A15" t="inlineStr">
        <is>
          <t>Central Directorate of National Savings</t>
        </is>
      </c>
    </row>
    <row r="16">
      <c r="A16" t="inlineStr">
        <is>
          <t>Al Meezan Investments</t>
        </is>
      </c>
    </row>
    <row r="17">
      <c r="A17" t="inlineStr">
        <is>
          <t>UBL Fund Managers</t>
        </is>
      </c>
    </row>
    <row r="19">
      <c r="A19" s="6" t="inlineStr">
        <is>
          <t>Every figure needs a citable source. Do not enter a number you cannot attribute.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2026-08-26T09:14:15Z</dcterms:created>
  <dcterms:modified xmlns:dcterms="http://purl.org/dc/terms/" xmlns:xsi="http://www.w3.org/2001/XMLSchema-instance" xsi:type="dcterms:W3CDTF">2026-08-27T11:33:01Z</dcterms:modified>
</cp:coreProperties>
</file>